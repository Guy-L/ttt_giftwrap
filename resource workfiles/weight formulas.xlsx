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 (x86)\Steam\steamapps\common\GarrysMod\garrysmod\addons\ttt_giftwrap\resource workfiles\"/>
    </mc:Choice>
  </mc:AlternateContent>
  <xr:revisionPtr revIDLastSave="0" documentId="13_ncr:1_{DE780231-0367-44AF-80F8-2B3C9A5F63BA}" xr6:coauthVersionLast="47" xr6:coauthVersionMax="47" xr10:uidLastSave="{00000000-0000-0000-0000-000000000000}"/>
  <bookViews>
    <workbookView xWindow="-108" yWindow="-108" windowWidth="23256" windowHeight="12456" xr2:uid="{CEFB4F02-3A3C-4443-864D-BF848F0D5252}"/>
  </bookViews>
  <sheets>
    <sheet name="Main Sheet" sheetId="1" r:id="rId1"/>
    <sheet name="Christmas Factor Calc" sheetId="2" r:id="rId2"/>
    <sheet name="Score Factor Calc" sheetId="4" r:id="rId3"/>
  </sheets>
  <definedNames>
    <definedName name="FloorWeight">'Main Sheet'!$H$13:$H$54</definedName>
    <definedName name="PropWeight">'Main Sheet'!$H$3:$H$10</definedName>
    <definedName name="ShopItemWeight">'Main Sheet'!$H$149:$H$161</definedName>
    <definedName name="ShopWeight">'Main Sheet'!$H$104:$H$146</definedName>
    <definedName name="SpecialWeight">'Main Sheet'!$H$57:$H$101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8" i="1" s="1"/>
  <c r="H8" i="1" s="1"/>
  <c r="B8" i="1"/>
  <c r="B3" i="1"/>
  <c r="B4" i="1"/>
  <c r="B73" i="1"/>
  <c r="B9" i="1"/>
  <c r="B5" i="1"/>
  <c r="B101" i="1"/>
  <c r="B146" i="1"/>
  <c r="B100" i="1"/>
  <c r="B161" i="1"/>
  <c r="B135" i="1"/>
  <c r="B117" i="1"/>
  <c r="B112" i="1"/>
  <c r="B145" i="1"/>
  <c r="B50" i="1"/>
  <c r="B51" i="1"/>
  <c r="B52" i="1"/>
  <c r="B53" i="1"/>
  <c r="B54" i="1"/>
  <c r="B144" i="1"/>
  <c r="B99" i="1"/>
  <c r="B143" i="1"/>
  <c r="B98" i="1"/>
  <c r="B142" i="1"/>
  <c r="B141" i="1"/>
  <c r="B140" i="1"/>
  <c r="B97" i="1"/>
  <c r="B96" i="1"/>
  <c r="B95" i="1"/>
  <c r="B94" i="1"/>
  <c r="B49" i="1"/>
  <c r="B48" i="1"/>
  <c r="B93" i="1"/>
  <c r="B137" i="1"/>
  <c r="B139" i="1"/>
  <c r="B138" i="1"/>
  <c r="B136" i="1"/>
  <c r="B7" i="1"/>
  <c r="B134" i="1"/>
  <c r="B133" i="1"/>
  <c r="B47" i="1"/>
  <c r="B45" i="1"/>
  <c r="B46" i="1"/>
  <c r="B91" i="1"/>
  <c r="B90" i="1"/>
  <c r="B150" i="1"/>
  <c r="B89" i="1"/>
  <c r="B132" i="1"/>
  <c r="B131" i="1"/>
  <c r="B130" i="1"/>
  <c r="B44" i="1"/>
  <c r="B41" i="1"/>
  <c r="B42" i="1"/>
  <c r="B43" i="1"/>
  <c r="B159" i="1"/>
  <c r="B87" i="1"/>
  <c r="B92" i="1"/>
  <c r="B129" i="1"/>
  <c r="B86" i="1"/>
  <c r="B128" i="1"/>
  <c r="B127" i="1"/>
  <c r="B35" i="1"/>
  <c r="B36" i="1"/>
  <c r="B37" i="1"/>
  <c r="B38" i="1"/>
  <c r="B39" i="1"/>
  <c r="B40" i="1"/>
  <c r="B152" i="1"/>
  <c r="B153" i="1"/>
  <c r="B154" i="1"/>
  <c r="B155" i="1"/>
  <c r="B156" i="1"/>
  <c r="B157" i="1"/>
  <c r="B158" i="1"/>
  <c r="B160" i="1"/>
  <c r="B126" i="1"/>
  <c r="B85" i="1"/>
  <c r="B88" i="1"/>
  <c r="B84" i="1"/>
  <c r="B83" i="1"/>
  <c r="B124" i="1"/>
  <c r="B122" i="1"/>
  <c r="B123" i="1"/>
  <c r="B31" i="1"/>
  <c r="B34" i="1"/>
  <c r="B125" i="1"/>
  <c r="B33" i="1"/>
  <c r="B32" i="1"/>
  <c r="B30" i="1"/>
  <c r="B29" i="1"/>
  <c r="B28" i="1"/>
  <c r="B63" i="1"/>
  <c r="B6" i="1"/>
  <c r="B10" i="1"/>
  <c r="B118" i="1"/>
  <c r="B27" i="1"/>
  <c r="B75" i="1"/>
  <c r="B76" i="1"/>
  <c r="B77" i="1"/>
  <c r="B78" i="1"/>
  <c r="B81" i="1"/>
  <c r="B82" i="1"/>
  <c r="B120" i="1"/>
  <c r="B119" i="1"/>
  <c r="B26" i="1"/>
  <c r="B23" i="1"/>
  <c r="B24" i="1"/>
  <c r="B25" i="1"/>
  <c r="B108" i="1"/>
  <c r="B109" i="1"/>
  <c r="B110" i="1"/>
  <c r="B111" i="1"/>
  <c r="B113" i="1"/>
  <c r="B114" i="1"/>
  <c r="B115" i="1"/>
  <c r="B116" i="1"/>
  <c r="B121" i="1"/>
  <c r="B65" i="1"/>
  <c r="B66" i="1"/>
  <c r="B67" i="1"/>
  <c r="B68" i="1"/>
  <c r="B69" i="1"/>
  <c r="B70" i="1"/>
  <c r="B71" i="1"/>
  <c r="B72" i="1"/>
  <c r="B74" i="1"/>
  <c r="B20" i="1"/>
  <c r="B21" i="1"/>
  <c r="B22" i="1"/>
  <c r="B151" i="1"/>
  <c r="B13" i="4"/>
  <c r="D13" i="4" s="1"/>
  <c r="L11" i="1"/>
  <c r="M11" i="1" s="1"/>
  <c r="F4" i="1" s="1"/>
  <c r="G4" i="1" s="1"/>
  <c r="H4" i="1" s="1"/>
  <c r="M14" i="1"/>
  <c r="B2" i="4"/>
  <c r="B3" i="4"/>
  <c r="B4" i="4"/>
  <c r="D4" i="4" s="1"/>
  <c r="B5" i="4"/>
  <c r="B6" i="4"/>
  <c r="B7" i="4"/>
  <c r="B8" i="4"/>
  <c r="H8" i="4" s="1"/>
  <c r="B9" i="4"/>
  <c r="E9" i="4" s="1"/>
  <c r="B10" i="4"/>
  <c r="L10" i="4" s="1"/>
  <c r="B11" i="4"/>
  <c r="B12" i="4"/>
  <c r="L12" i="4" s="1"/>
  <c r="B14" i="4"/>
  <c r="B15" i="4"/>
  <c r="B16" i="4"/>
  <c r="H16" i="4" s="1"/>
  <c r="B17" i="4"/>
  <c r="G17" i="4" s="1"/>
  <c r="B18" i="4"/>
  <c r="B19" i="4"/>
  <c r="B20" i="4"/>
  <c r="B21" i="4"/>
  <c r="B22" i="4"/>
  <c r="B23" i="4"/>
  <c r="B24" i="4"/>
  <c r="H24" i="4" s="1"/>
  <c r="B25" i="4"/>
  <c r="E25" i="4" s="1"/>
  <c r="B26" i="4"/>
  <c r="B27" i="4"/>
  <c r="B28" i="4"/>
  <c r="L28" i="4" s="1"/>
  <c r="B29" i="4"/>
  <c r="B30" i="4"/>
  <c r="B31" i="4"/>
  <c r="K31" i="4" s="1"/>
  <c r="B33" i="4"/>
  <c r="M33" i="4" s="1"/>
  <c r="B34" i="4"/>
  <c r="D34" i="4" s="1"/>
  <c r="B35" i="4"/>
  <c r="B36" i="4"/>
  <c r="B37" i="4"/>
  <c r="B38" i="4"/>
  <c r="B39" i="4"/>
  <c r="B40" i="4"/>
  <c r="H40" i="4" s="1"/>
  <c r="B41" i="4"/>
  <c r="H41" i="4" s="1"/>
  <c r="B42" i="4"/>
  <c r="D42" i="4" s="1"/>
  <c r="B43" i="4"/>
  <c r="B44" i="4"/>
  <c r="B45" i="4"/>
  <c r="I45" i="4" s="1"/>
  <c r="B46" i="4"/>
  <c r="B47" i="4"/>
  <c r="B48" i="4"/>
  <c r="H48" i="4" s="1"/>
  <c r="B49" i="4"/>
  <c r="G49" i="4" s="1"/>
  <c r="B50" i="4"/>
  <c r="B51" i="4"/>
  <c r="B52" i="4"/>
  <c r="B53" i="4"/>
  <c r="B54" i="4"/>
  <c r="B55" i="4"/>
  <c r="B56" i="4"/>
  <c r="K56" i="4" s="1"/>
  <c r="B57" i="4"/>
  <c r="E57" i="4" s="1"/>
  <c r="B58" i="4"/>
  <c r="D58" i="4" s="1"/>
  <c r="B59" i="4"/>
  <c r="B60" i="4"/>
  <c r="B61" i="4"/>
  <c r="I61" i="4" s="1"/>
  <c r="B62" i="4"/>
  <c r="B63" i="4"/>
  <c r="B64" i="4"/>
  <c r="J64" i="4" s="1"/>
  <c r="B65" i="4"/>
  <c r="B66" i="4"/>
  <c r="D66" i="4" s="1"/>
  <c r="B67" i="4"/>
  <c r="F67" i="4" s="1"/>
  <c r="B68" i="4"/>
  <c r="B69" i="4"/>
  <c r="K69" i="4" s="1"/>
  <c r="B70" i="4"/>
  <c r="B71" i="4"/>
  <c r="B72" i="4"/>
  <c r="J72" i="4" s="1"/>
  <c r="B73" i="4"/>
  <c r="G73" i="4" s="1"/>
  <c r="B74" i="4"/>
  <c r="D74" i="4" s="1"/>
  <c r="B75" i="4"/>
  <c r="H75" i="4" s="1"/>
  <c r="B76" i="4"/>
  <c r="B77" i="4"/>
  <c r="K77" i="4" s="1"/>
  <c r="B78" i="4"/>
  <c r="B79" i="4"/>
  <c r="B80" i="4"/>
  <c r="B81" i="4"/>
  <c r="G81" i="4" s="1"/>
  <c r="B82" i="4"/>
  <c r="D82" i="4" s="1"/>
  <c r="B32" i="4"/>
  <c r="K32" i="4" s="1"/>
  <c r="E7" i="4"/>
  <c r="K47" i="4"/>
  <c r="J50" i="4"/>
  <c r="E71" i="4"/>
  <c r="E79" i="4"/>
  <c r="J80" i="4"/>
  <c r="I14" i="4"/>
  <c r="N20" i="4"/>
  <c r="H70" i="4"/>
  <c r="G27" i="4"/>
  <c r="L26" i="4"/>
  <c r="I21" i="4"/>
  <c r="G19" i="4"/>
  <c r="J18" i="4"/>
  <c r="G11" i="4"/>
  <c r="F6" i="4"/>
  <c r="D5" i="4"/>
  <c r="I2" i="4"/>
  <c r="F36" i="4"/>
  <c r="N38" i="4"/>
  <c r="G44" i="4"/>
  <c r="H46" i="4"/>
  <c r="J51" i="4"/>
  <c r="L53" i="4"/>
  <c r="F54" i="4"/>
  <c r="I59" i="4"/>
  <c r="F60" i="4"/>
  <c r="I62" i="4"/>
  <c r="L65" i="4"/>
  <c r="I67" i="4"/>
  <c r="L68" i="4"/>
  <c r="F76" i="4"/>
  <c r="H78" i="4"/>
  <c r="K29" i="4"/>
  <c r="F22" i="4"/>
  <c r="B19" i="1"/>
  <c r="B18" i="1"/>
  <c r="B17" i="1"/>
  <c r="B16" i="1"/>
  <c r="B64" i="1"/>
  <c r="B107" i="1"/>
  <c r="B62" i="1"/>
  <c r="B106" i="1"/>
  <c r="B149" i="1"/>
  <c r="B105" i="1"/>
  <c r="B104" i="1"/>
  <c r="B61" i="1"/>
  <c r="B14" i="1"/>
  <c r="B15" i="1"/>
  <c r="B13" i="1"/>
  <c r="B60" i="1"/>
  <c r="B57" i="1"/>
  <c r="B58" i="1"/>
  <c r="E26" i="4"/>
  <c r="D52" i="4"/>
  <c r="B367" i="2"/>
  <c r="C367" i="2" s="1"/>
  <c r="D367" i="2" s="1"/>
  <c r="J367" i="2" s="1"/>
  <c r="B368" i="2"/>
  <c r="C368" i="2" s="1"/>
  <c r="D368" i="2" s="1"/>
  <c r="B369" i="2"/>
  <c r="C369" i="2" s="1"/>
  <c r="D369" i="2" s="1"/>
  <c r="F369" i="2" s="1"/>
  <c r="B370" i="2"/>
  <c r="C370" i="2" s="1"/>
  <c r="D370" i="2" s="1"/>
  <c r="H370" i="2" s="1"/>
  <c r="B371" i="2"/>
  <c r="C371" i="2" s="1"/>
  <c r="D371" i="2" s="1"/>
  <c r="B372" i="2"/>
  <c r="C372" i="2" s="1"/>
  <c r="D372" i="2" s="1"/>
  <c r="L372" i="2" s="1"/>
  <c r="B373" i="2"/>
  <c r="C373" i="2" s="1"/>
  <c r="D373" i="2"/>
  <c r="B374" i="2"/>
  <c r="C374" i="2" s="1"/>
  <c r="D374" i="2" s="1"/>
  <c r="G374" i="2" s="1"/>
  <c r="B375" i="2"/>
  <c r="C375" i="2" s="1"/>
  <c r="D375" i="2" s="1"/>
  <c r="I375" i="2" s="1"/>
  <c r="B376" i="2"/>
  <c r="C376" i="2" s="1"/>
  <c r="D376" i="2" s="1"/>
  <c r="K376" i="2" s="1"/>
  <c r="B377" i="2"/>
  <c r="C377" i="2" s="1"/>
  <c r="D377" i="2" s="1"/>
  <c r="B378" i="2"/>
  <c r="C378" i="2" s="1"/>
  <c r="D378" i="2" s="1"/>
  <c r="G378" i="2" s="1"/>
  <c r="H378" i="2"/>
  <c r="B379" i="2"/>
  <c r="C379" i="2" s="1"/>
  <c r="D379" i="2" s="1"/>
  <c r="I379" i="2" s="1"/>
  <c r="B380" i="2"/>
  <c r="C380" i="2"/>
  <c r="D380" i="2" s="1"/>
  <c r="L380" i="2"/>
  <c r="B381" i="2"/>
  <c r="C381" i="2" s="1"/>
  <c r="D381" i="2"/>
  <c r="F381" i="2" s="1"/>
  <c r="B382" i="2"/>
  <c r="C382" i="2" s="1"/>
  <c r="D382" i="2" s="1"/>
  <c r="H382" i="2" s="1"/>
  <c r="B383" i="2"/>
  <c r="C383" i="2" s="1"/>
  <c r="D383" i="2" s="1"/>
  <c r="I383" i="2" s="1"/>
  <c r="B384" i="2"/>
  <c r="C384" i="2" s="1"/>
  <c r="D384" i="2" s="1"/>
  <c r="K384" i="2" s="1"/>
  <c r="B385" i="2"/>
  <c r="C385" i="2" s="1"/>
  <c r="D385" i="2" s="1"/>
  <c r="B386" i="2"/>
  <c r="C386" i="2" s="1"/>
  <c r="D386" i="2" s="1"/>
  <c r="H386" i="2" s="1"/>
  <c r="O386" i="2"/>
  <c r="B387" i="2"/>
  <c r="C387" i="2" s="1"/>
  <c r="D387" i="2" s="1"/>
  <c r="I387" i="2" s="1"/>
  <c r="B388" i="2"/>
  <c r="C388" i="2"/>
  <c r="D388" i="2" s="1"/>
  <c r="B389" i="2"/>
  <c r="C389" i="2" s="1"/>
  <c r="D389" i="2" s="1"/>
  <c r="M389" i="2" s="1"/>
  <c r="B390" i="2"/>
  <c r="C390" i="2" s="1"/>
  <c r="D390" i="2" s="1"/>
  <c r="B391" i="2"/>
  <c r="C391" i="2" s="1"/>
  <c r="D391" i="2" s="1"/>
  <c r="I391" i="2" s="1"/>
  <c r="B392" i="2"/>
  <c r="C392" i="2" s="1"/>
  <c r="D392" i="2" s="1"/>
  <c r="B393" i="2"/>
  <c r="C393" i="2" s="1"/>
  <c r="D393" i="2" s="1"/>
  <c r="B394" i="2"/>
  <c r="C394" i="2" s="1"/>
  <c r="D394" i="2" s="1"/>
  <c r="G394" i="2" s="1"/>
  <c r="O394" i="2"/>
  <c r="P394" i="2"/>
  <c r="B395" i="2"/>
  <c r="C395" i="2" s="1"/>
  <c r="D395" i="2" s="1"/>
  <c r="B396" i="2"/>
  <c r="C396" i="2"/>
  <c r="D396" i="2" s="1"/>
  <c r="K396" i="2" s="1"/>
  <c r="B397" i="2"/>
  <c r="C397" i="2" s="1"/>
  <c r="D397" i="2" s="1"/>
  <c r="F397" i="2" s="1"/>
  <c r="B398" i="2"/>
  <c r="C398" i="2" s="1"/>
  <c r="D398" i="2" s="1"/>
  <c r="G398" i="2" s="1"/>
  <c r="B399" i="2"/>
  <c r="C399" i="2" s="1"/>
  <c r="D399" i="2" s="1"/>
  <c r="I399" i="2" s="1"/>
  <c r="B400" i="2"/>
  <c r="C400" i="2"/>
  <c r="D400" i="2" s="1"/>
  <c r="B401" i="2"/>
  <c r="C401" i="2" s="1"/>
  <c r="D401" i="2"/>
  <c r="G401" i="2" s="1"/>
  <c r="B402" i="2"/>
  <c r="C402" i="2" s="1"/>
  <c r="D402" i="2" s="1"/>
  <c r="G402" i="2" s="1"/>
  <c r="B403" i="2"/>
  <c r="C403" i="2" s="1"/>
  <c r="D403" i="2" s="1"/>
  <c r="I403" i="2" s="1"/>
  <c r="B404" i="2"/>
  <c r="C404" i="2" s="1"/>
  <c r="D404" i="2" s="1"/>
  <c r="B405" i="2"/>
  <c r="C405" i="2" s="1"/>
  <c r="D405" i="2" s="1"/>
  <c r="F405" i="2" s="1"/>
  <c r="B406" i="2"/>
  <c r="C406" i="2" s="1"/>
  <c r="D406" i="2" s="1"/>
  <c r="B407" i="2"/>
  <c r="C407" i="2" s="1"/>
  <c r="D407" i="2" s="1"/>
  <c r="I407" i="2" s="1"/>
  <c r="B408" i="2"/>
  <c r="C408" i="2"/>
  <c r="D408" i="2" s="1"/>
  <c r="K408" i="2" s="1"/>
  <c r="B409" i="2"/>
  <c r="C409" i="2" s="1"/>
  <c r="D409" i="2" s="1"/>
  <c r="G409" i="2" s="1"/>
  <c r="B410" i="2"/>
  <c r="C410" i="2" s="1"/>
  <c r="D410" i="2" s="1"/>
  <c r="G410" i="2" s="1"/>
  <c r="B411" i="2"/>
  <c r="C411" i="2" s="1"/>
  <c r="D411" i="2" s="1"/>
  <c r="B412" i="2"/>
  <c r="C412" i="2" s="1"/>
  <c r="D412" i="2"/>
  <c r="L412" i="2" s="1"/>
  <c r="B413" i="2"/>
  <c r="C413" i="2" s="1"/>
  <c r="D413" i="2" s="1"/>
  <c r="B414" i="2"/>
  <c r="C414" i="2" s="1"/>
  <c r="D414" i="2" s="1"/>
  <c r="O414" i="2" s="1"/>
  <c r="B415" i="2"/>
  <c r="C415" i="2" s="1"/>
  <c r="D415" i="2" s="1"/>
  <c r="B416" i="2"/>
  <c r="C416" i="2" s="1"/>
  <c r="D416" i="2"/>
  <c r="H416" i="2" s="1"/>
  <c r="B417" i="2"/>
  <c r="C417" i="2" s="1"/>
  <c r="D417" i="2" s="1"/>
  <c r="G417" i="2" s="1"/>
  <c r="B418" i="2"/>
  <c r="C418" i="2" s="1"/>
  <c r="D418" i="2"/>
  <c r="I418" i="2" s="1"/>
  <c r="B419" i="2"/>
  <c r="C419" i="2" s="1"/>
  <c r="D419" i="2"/>
  <c r="O419" i="2" s="1"/>
  <c r="M419" i="2"/>
  <c r="B420" i="2"/>
  <c r="C420" i="2" s="1"/>
  <c r="D420" i="2" s="1"/>
  <c r="O420" i="2" s="1"/>
  <c r="B421" i="2"/>
  <c r="C421" i="2" s="1"/>
  <c r="D421" i="2" s="1"/>
  <c r="G421" i="2" s="1"/>
  <c r="B422" i="2"/>
  <c r="C422" i="2" s="1"/>
  <c r="D422" i="2"/>
  <c r="B423" i="2"/>
  <c r="C423" i="2" s="1"/>
  <c r="D423" i="2" s="1"/>
  <c r="B424" i="2"/>
  <c r="C424" i="2" s="1"/>
  <c r="D424" i="2" s="1"/>
  <c r="B425" i="2"/>
  <c r="C425" i="2" s="1"/>
  <c r="D425" i="2" s="1"/>
  <c r="G425" i="2" s="1"/>
  <c r="O425" i="2"/>
  <c r="B426" i="2"/>
  <c r="C426" i="2" s="1"/>
  <c r="D426" i="2"/>
  <c r="I426" i="2" s="1"/>
  <c r="B427" i="2"/>
  <c r="C427" i="2" s="1"/>
  <c r="D427" i="2"/>
  <c r="B428" i="2"/>
  <c r="C428" i="2" s="1"/>
  <c r="D428" i="2"/>
  <c r="G428" i="2" s="1"/>
  <c r="B429" i="2"/>
  <c r="C429" i="2" s="1"/>
  <c r="D429" i="2" s="1"/>
  <c r="O429" i="2" s="1"/>
  <c r="B430" i="2"/>
  <c r="C430" i="2" s="1"/>
  <c r="D430" i="2" s="1"/>
  <c r="B431" i="2"/>
  <c r="C431" i="2" s="1"/>
  <c r="D431" i="2"/>
  <c r="G431" i="2" s="1"/>
  <c r="B432" i="2"/>
  <c r="C432" i="2" s="1"/>
  <c r="D432" i="2"/>
  <c r="G432" i="2" s="1"/>
  <c r="B433" i="2"/>
  <c r="C433" i="2" s="1"/>
  <c r="D433" i="2" s="1"/>
  <c r="G433" i="2" s="1"/>
  <c r="B434" i="2"/>
  <c r="C434" i="2" s="1"/>
  <c r="D434" i="2" s="1"/>
  <c r="B435" i="2"/>
  <c r="C435" i="2" s="1"/>
  <c r="D435" i="2"/>
  <c r="G435" i="2" s="1"/>
  <c r="B436" i="2"/>
  <c r="C436" i="2" s="1"/>
  <c r="D436" i="2" s="1"/>
  <c r="O436" i="2" s="1"/>
  <c r="B437" i="2"/>
  <c r="C437" i="2" s="1"/>
  <c r="D437" i="2" s="1"/>
  <c r="B438" i="2"/>
  <c r="C438" i="2" s="1"/>
  <c r="D438" i="2"/>
  <c r="I438" i="2" s="1"/>
  <c r="B439" i="2"/>
  <c r="C439" i="2" s="1"/>
  <c r="D439" i="2" s="1"/>
  <c r="O439" i="2" s="1"/>
  <c r="B440" i="2"/>
  <c r="C440" i="2" s="1"/>
  <c r="D440" i="2"/>
  <c r="G440" i="2" s="1"/>
  <c r="B441" i="2"/>
  <c r="C441" i="2" s="1"/>
  <c r="D441" i="2"/>
  <c r="B442" i="2"/>
  <c r="C442" i="2" s="1"/>
  <c r="D442" i="2"/>
  <c r="I442" i="2" s="1"/>
  <c r="B443" i="2"/>
  <c r="C443" i="2" s="1"/>
  <c r="D443" i="2"/>
  <c r="G443" i="2" s="1"/>
  <c r="B444" i="2"/>
  <c r="C444" i="2" s="1"/>
  <c r="D444" i="2"/>
  <c r="K444" i="2" s="1"/>
  <c r="B445" i="2"/>
  <c r="C445" i="2" s="1"/>
  <c r="D445" i="2"/>
  <c r="M445" i="2" s="1"/>
  <c r="O445" i="2"/>
  <c r="B446" i="2"/>
  <c r="C446" i="2" s="1"/>
  <c r="D446" i="2" s="1"/>
  <c r="M446" i="2" s="1"/>
  <c r="B447" i="2"/>
  <c r="C447" i="2" s="1"/>
  <c r="D447" i="2" s="1"/>
  <c r="L447" i="2"/>
  <c r="B448" i="2"/>
  <c r="C448" i="2" s="1"/>
  <c r="D448" i="2"/>
  <c r="F448" i="2" s="1"/>
  <c r="B449" i="2"/>
  <c r="C449" i="2"/>
  <c r="D449" i="2" s="1"/>
  <c r="M449" i="2" s="1"/>
  <c r="B450" i="2"/>
  <c r="C450" i="2" s="1"/>
  <c r="D450" i="2" s="1"/>
  <c r="B451" i="2"/>
  <c r="C451" i="2"/>
  <c r="D451" i="2"/>
  <c r="F451" i="2" s="1"/>
  <c r="B452" i="2"/>
  <c r="C452" i="2"/>
  <c r="D452" i="2" s="1"/>
  <c r="B453" i="2"/>
  <c r="C453" i="2" s="1"/>
  <c r="D453" i="2" s="1"/>
  <c r="F453" i="2" s="1"/>
  <c r="B454" i="2"/>
  <c r="C454" i="2"/>
  <c r="D454" i="2"/>
  <c r="F454" i="2" s="1"/>
  <c r="B455" i="2"/>
  <c r="C455" i="2"/>
  <c r="D455" i="2"/>
  <c r="O455" i="2" s="1"/>
  <c r="B456" i="2"/>
  <c r="C456" i="2"/>
  <c r="D456" i="2" s="1"/>
  <c r="J456" i="2" s="1"/>
  <c r="B457" i="2"/>
  <c r="C457" i="2"/>
  <c r="D457" i="2" s="1"/>
  <c r="B458" i="2"/>
  <c r="C458" i="2"/>
  <c r="D458" i="2"/>
  <c r="N458" i="2" s="1"/>
  <c r="B459" i="2"/>
  <c r="C459" i="2"/>
  <c r="D459" i="2"/>
  <c r="K459" i="2" s="1"/>
  <c r="F459" i="2"/>
  <c r="G459" i="2"/>
  <c r="H459" i="2"/>
  <c r="I459" i="2"/>
  <c r="J459" i="2"/>
  <c r="M459" i="2"/>
  <c r="N459" i="2"/>
  <c r="O459" i="2"/>
  <c r="P459" i="2"/>
  <c r="B460" i="2"/>
  <c r="C460" i="2"/>
  <c r="D460" i="2" s="1"/>
  <c r="B461" i="2"/>
  <c r="C461" i="2" s="1"/>
  <c r="D461" i="2" s="1"/>
  <c r="F461" i="2" s="1"/>
  <c r="B462" i="2"/>
  <c r="C462" i="2"/>
  <c r="D462" i="2"/>
  <c r="O462" i="2" s="1"/>
  <c r="B463" i="2"/>
  <c r="C463" i="2"/>
  <c r="D463" i="2"/>
  <c r="K463" i="2" s="1"/>
  <c r="B464" i="2"/>
  <c r="C464" i="2"/>
  <c r="D464" i="2" s="1"/>
  <c r="B465" i="2"/>
  <c r="C465" i="2"/>
  <c r="D465" i="2" s="1"/>
  <c r="K465" i="2" s="1"/>
  <c r="B466" i="2"/>
  <c r="C466" i="2"/>
  <c r="D466" i="2" s="1"/>
  <c r="B467" i="2"/>
  <c r="C467" i="2"/>
  <c r="D467" i="2"/>
  <c r="K467" i="2" s="1"/>
  <c r="B468" i="2"/>
  <c r="C468" i="2" s="1"/>
  <c r="D468" i="2" s="1"/>
  <c r="K468" i="2" s="1"/>
  <c r="B469" i="2"/>
  <c r="C469" i="2" s="1"/>
  <c r="D469" i="2" s="1"/>
  <c r="B470" i="2"/>
  <c r="C470" i="2"/>
  <c r="D470" i="2" s="1"/>
  <c r="M470" i="2" s="1"/>
  <c r="B471" i="2"/>
  <c r="C471" i="2"/>
  <c r="D471" i="2"/>
  <c r="O471" i="2" s="1"/>
  <c r="B472" i="2"/>
  <c r="C472" i="2" s="1"/>
  <c r="D472" i="2" s="1"/>
  <c r="K472" i="2" s="1"/>
  <c r="B473" i="2"/>
  <c r="C473" i="2" s="1"/>
  <c r="D473" i="2" s="1"/>
  <c r="B474" i="2"/>
  <c r="C474" i="2"/>
  <c r="D474" i="2" s="1"/>
  <c r="M474" i="2" s="1"/>
  <c r="O474" i="2"/>
  <c r="B475" i="2"/>
  <c r="C475" i="2" s="1"/>
  <c r="D475" i="2" s="1"/>
  <c r="G475" i="2" s="1"/>
  <c r="I475" i="2"/>
  <c r="B476" i="2"/>
  <c r="C476" i="2" s="1"/>
  <c r="D476" i="2" s="1"/>
  <c r="K476" i="2" s="1"/>
  <c r="B477" i="2"/>
  <c r="C477" i="2" s="1"/>
  <c r="D477" i="2" s="1"/>
  <c r="F477" i="2" s="1"/>
  <c r="B478" i="2"/>
  <c r="C478" i="2"/>
  <c r="D478" i="2"/>
  <c r="B479" i="2"/>
  <c r="C479" i="2" s="1"/>
  <c r="D479" i="2" s="1"/>
  <c r="G479" i="2" s="1"/>
  <c r="B480" i="2"/>
  <c r="C480" i="2" s="1"/>
  <c r="D480" i="2" s="1"/>
  <c r="I480" i="2" s="1"/>
  <c r="B481" i="2"/>
  <c r="C481" i="2" s="1"/>
  <c r="D481" i="2" s="1"/>
  <c r="F481" i="2" s="1"/>
  <c r="B482" i="2"/>
  <c r="C482" i="2"/>
  <c r="D482" i="2"/>
  <c r="B483" i="2"/>
  <c r="C483" i="2" s="1"/>
  <c r="D483" i="2" s="1"/>
  <c r="N483" i="2" s="1"/>
  <c r="B484" i="2"/>
  <c r="C484" i="2"/>
  <c r="D484" i="2" s="1"/>
  <c r="I484" i="2" s="1"/>
  <c r="B485" i="2"/>
  <c r="C485" i="2"/>
  <c r="D485" i="2" s="1"/>
  <c r="B486" i="2"/>
  <c r="C486" i="2"/>
  <c r="D486" i="2"/>
  <c r="H486" i="2" s="1"/>
  <c r="B487" i="2"/>
  <c r="C487" i="2" s="1"/>
  <c r="D487" i="2" s="1"/>
  <c r="H487" i="2" s="1"/>
  <c r="J487" i="2"/>
  <c r="B488" i="2"/>
  <c r="C488" i="2"/>
  <c r="D488" i="2" s="1"/>
  <c r="J488" i="2" s="1"/>
  <c r="B489" i="2"/>
  <c r="C489" i="2"/>
  <c r="D489" i="2" s="1"/>
  <c r="F489" i="2" s="1"/>
  <c r="B490" i="2"/>
  <c r="C490" i="2"/>
  <c r="D490" i="2"/>
  <c r="B491" i="2"/>
  <c r="C491" i="2" s="1"/>
  <c r="D491" i="2" s="1"/>
  <c r="G491" i="2" s="1"/>
  <c r="B492" i="2"/>
  <c r="C492" i="2"/>
  <c r="D492" i="2" s="1"/>
  <c r="B493" i="2"/>
  <c r="C493" i="2"/>
  <c r="D493" i="2" s="1"/>
  <c r="F493" i="2" s="1"/>
  <c r="B494" i="2"/>
  <c r="C494" i="2"/>
  <c r="D494" i="2"/>
  <c r="B495" i="2"/>
  <c r="C495" i="2" s="1"/>
  <c r="D495" i="2" s="1"/>
  <c r="J495" i="2" s="1"/>
  <c r="O495" i="2"/>
  <c r="B496" i="2"/>
  <c r="C496" i="2"/>
  <c r="D496" i="2" s="1"/>
  <c r="H496" i="2" s="1"/>
  <c r="B497" i="2"/>
  <c r="C497" i="2"/>
  <c r="D497" i="2" s="1"/>
  <c r="B498" i="2"/>
  <c r="C498" i="2"/>
  <c r="D498" i="2" s="1"/>
  <c r="L498" i="2" s="1"/>
  <c r="B499" i="2"/>
  <c r="C499" i="2" s="1"/>
  <c r="D499" i="2" s="1"/>
  <c r="G499" i="2" s="1"/>
  <c r="B500" i="2"/>
  <c r="C500" i="2"/>
  <c r="D500" i="2" s="1"/>
  <c r="K500" i="2" s="1"/>
  <c r="B501" i="2"/>
  <c r="C501" i="2"/>
  <c r="D501" i="2"/>
  <c r="I501" i="2" s="1"/>
  <c r="B502" i="2"/>
  <c r="C502" i="2" s="1"/>
  <c r="D502" i="2" s="1"/>
  <c r="B503" i="2"/>
  <c r="C503" i="2" s="1"/>
  <c r="D503" i="2"/>
  <c r="B504" i="2"/>
  <c r="C504" i="2"/>
  <c r="D504" i="2" s="1"/>
  <c r="B505" i="2"/>
  <c r="C505" i="2"/>
  <c r="D505" i="2"/>
  <c r="I505" i="2" s="1"/>
  <c r="B506" i="2"/>
  <c r="C506" i="2" s="1"/>
  <c r="D506" i="2" s="1"/>
  <c r="B507" i="2"/>
  <c r="C507" i="2" s="1"/>
  <c r="D507" i="2"/>
  <c r="G507" i="2" s="1"/>
  <c r="B508" i="2"/>
  <c r="C508" i="2" s="1"/>
  <c r="D508" i="2" s="1"/>
  <c r="B509" i="2"/>
  <c r="C509" i="2"/>
  <c r="D509" i="2" s="1"/>
  <c r="F509" i="2" s="1"/>
  <c r="B510" i="2"/>
  <c r="C510" i="2"/>
  <c r="D510" i="2"/>
  <c r="G510" i="2" s="1"/>
  <c r="B511" i="2"/>
  <c r="C511" i="2" s="1"/>
  <c r="D511" i="2" s="1"/>
  <c r="B512" i="2"/>
  <c r="C512" i="2" s="1"/>
  <c r="D512" i="2" s="1"/>
  <c r="G512" i="2" s="1"/>
  <c r="B513" i="2"/>
  <c r="C513" i="2" s="1"/>
  <c r="D513" i="2" s="1"/>
  <c r="B514" i="2"/>
  <c r="C514" i="2"/>
  <c r="D514" i="2" s="1"/>
  <c r="B515" i="2"/>
  <c r="C515" i="2" s="1"/>
  <c r="D515" i="2" s="1"/>
  <c r="F515" i="2" s="1"/>
  <c r="B516" i="2"/>
  <c r="C516" i="2" s="1"/>
  <c r="D516" i="2" s="1"/>
  <c r="J516" i="2" s="1"/>
  <c r="H516" i="2"/>
  <c r="O516" i="2"/>
  <c r="B517" i="2"/>
  <c r="C517" i="2"/>
  <c r="D517" i="2" s="1"/>
  <c r="F517" i="2" s="1"/>
  <c r="B518" i="2"/>
  <c r="C518" i="2"/>
  <c r="D518" i="2" s="1"/>
  <c r="G518" i="2" s="1"/>
  <c r="P518" i="2"/>
  <c r="B519" i="2"/>
  <c r="C519" i="2" s="1"/>
  <c r="D519" i="2" s="1"/>
  <c r="B520" i="2"/>
  <c r="C520" i="2" s="1"/>
  <c r="D520" i="2" s="1"/>
  <c r="O520" i="2" s="1"/>
  <c r="B521" i="2"/>
  <c r="C521" i="2" s="1"/>
  <c r="D521" i="2" s="1"/>
  <c r="B522" i="2"/>
  <c r="C522" i="2"/>
  <c r="D522" i="2" s="1"/>
  <c r="F522" i="2" s="1"/>
  <c r="B523" i="2"/>
  <c r="C523" i="2" s="1"/>
  <c r="D523" i="2" s="1"/>
  <c r="I523" i="2" s="1"/>
  <c r="H523" i="2"/>
  <c r="B524" i="2"/>
  <c r="C524" i="2"/>
  <c r="D524" i="2" s="1"/>
  <c r="B525" i="2"/>
  <c r="C525" i="2"/>
  <c r="D525" i="2"/>
  <c r="B526" i="2"/>
  <c r="C526" i="2" s="1"/>
  <c r="D526" i="2" s="1"/>
  <c r="B527" i="2"/>
  <c r="C527" i="2" s="1"/>
  <c r="D527" i="2"/>
  <c r="G527" i="2" s="1"/>
  <c r="B528" i="2"/>
  <c r="C528" i="2"/>
  <c r="D528" i="2" s="1"/>
  <c r="B529" i="2"/>
  <c r="C529" i="2" s="1"/>
  <c r="D529" i="2" s="1"/>
  <c r="B530" i="2"/>
  <c r="C530" i="2" s="1"/>
  <c r="D530" i="2"/>
  <c r="K530" i="2" s="1"/>
  <c r="B531" i="2"/>
  <c r="C531" i="2" s="1"/>
  <c r="D531" i="2" s="1"/>
  <c r="B532" i="2"/>
  <c r="C532" i="2"/>
  <c r="D532" i="2"/>
  <c r="B533" i="2"/>
  <c r="C533" i="2"/>
  <c r="D533" i="2" s="1"/>
  <c r="B534" i="2"/>
  <c r="C534" i="2"/>
  <c r="D534" i="2" s="1"/>
  <c r="B535" i="2"/>
  <c r="C535" i="2" s="1"/>
  <c r="D535" i="2" s="1"/>
  <c r="B536" i="2"/>
  <c r="C536" i="2" s="1"/>
  <c r="D536" i="2" s="1"/>
  <c r="B537" i="2"/>
  <c r="C537" i="2"/>
  <c r="D537" i="2" s="1"/>
  <c r="B538" i="2"/>
  <c r="C538" i="2"/>
  <c r="D538" i="2" s="1"/>
  <c r="B539" i="2"/>
  <c r="C539" i="2" s="1"/>
  <c r="D539" i="2" s="1"/>
  <c r="B540" i="2"/>
  <c r="C540" i="2" s="1"/>
  <c r="D540" i="2" s="1"/>
  <c r="B541" i="2"/>
  <c r="C541" i="2"/>
  <c r="D541" i="2" s="1"/>
  <c r="B542" i="2"/>
  <c r="C542" i="2"/>
  <c r="D542" i="2" s="1"/>
  <c r="B543" i="2"/>
  <c r="C543" i="2" s="1"/>
  <c r="D543" i="2" s="1"/>
  <c r="B544" i="2"/>
  <c r="C544" i="2" s="1"/>
  <c r="D544" i="2" s="1"/>
  <c r="B545" i="2"/>
  <c r="C545" i="2"/>
  <c r="D545" i="2" s="1"/>
  <c r="B546" i="2"/>
  <c r="C546" i="2"/>
  <c r="D546" i="2" s="1"/>
  <c r="B547" i="2"/>
  <c r="C547" i="2" s="1"/>
  <c r="D547" i="2" s="1"/>
  <c r="B548" i="2"/>
  <c r="C548" i="2" s="1"/>
  <c r="D548" i="2" s="1"/>
  <c r="B549" i="2"/>
  <c r="C549" i="2"/>
  <c r="D549" i="2" s="1"/>
  <c r="B550" i="2"/>
  <c r="C550" i="2"/>
  <c r="D550" i="2" s="1"/>
  <c r="M8" i="2"/>
  <c r="O182" i="2"/>
  <c r="H232" i="2"/>
  <c r="O262" i="2"/>
  <c r="H329" i="2"/>
  <c r="P337" i="2"/>
  <c r="M346" i="2"/>
  <c r="J353" i="2"/>
  <c r="K361" i="2"/>
  <c r="F18" i="2"/>
  <c r="F50" i="2"/>
  <c r="F82" i="2"/>
  <c r="F114" i="2"/>
  <c r="F146" i="2"/>
  <c r="F178" i="2"/>
  <c r="F210" i="2"/>
  <c r="F242" i="2"/>
  <c r="F274" i="2"/>
  <c r="F306" i="2"/>
  <c r="F338" i="2"/>
  <c r="D3" i="2"/>
  <c r="F3" i="2" s="1"/>
  <c r="D4" i="2"/>
  <c r="D5" i="2"/>
  <c r="D6" i="2"/>
  <c r="D7" i="2"/>
  <c r="D8" i="2"/>
  <c r="D9" i="2"/>
  <c r="F9" i="2" s="1"/>
  <c r="D10" i="2"/>
  <c r="F10" i="2" s="1"/>
  <c r="D11" i="2"/>
  <c r="F11" i="2" s="1"/>
  <c r="D12" i="2"/>
  <c r="D13" i="2"/>
  <c r="D14" i="2"/>
  <c r="D15" i="2"/>
  <c r="D16" i="2"/>
  <c r="D17" i="2"/>
  <c r="F17" i="2" s="1"/>
  <c r="D18" i="2"/>
  <c r="D19" i="2"/>
  <c r="F19" i="2" s="1"/>
  <c r="D20" i="2"/>
  <c r="D21" i="2"/>
  <c r="D22" i="2"/>
  <c r="D23" i="2"/>
  <c r="D24" i="2"/>
  <c r="D25" i="2"/>
  <c r="F25" i="2" s="1"/>
  <c r="D26" i="2"/>
  <c r="F26" i="2" s="1"/>
  <c r="D27" i="2"/>
  <c r="F27" i="2" s="1"/>
  <c r="D28" i="2"/>
  <c r="D29" i="2"/>
  <c r="D30" i="2"/>
  <c r="D31" i="2"/>
  <c r="F31" i="2" s="1"/>
  <c r="D32" i="2"/>
  <c r="D33" i="2"/>
  <c r="F33" i="2" s="1"/>
  <c r="D34" i="2"/>
  <c r="F34" i="2" s="1"/>
  <c r="D35" i="2"/>
  <c r="F35" i="2" s="1"/>
  <c r="D36" i="2"/>
  <c r="D37" i="2"/>
  <c r="D38" i="2"/>
  <c r="F38" i="2" s="1"/>
  <c r="D39" i="2"/>
  <c r="F39" i="2" s="1"/>
  <c r="D40" i="2"/>
  <c r="D41" i="2"/>
  <c r="F41" i="2" s="1"/>
  <c r="D42" i="2"/>
  <c r="F42" i="2" s="1"/>
  <c r="D43" i="2"/>
  <c r="F43" i="2" s="1"/>
  <c r="D44" i="2"/>
  <c r="D45" i="2"/>
  <c r="D46" i="2"/>
  <c r="F46" i="2" s="1"/>
  <c r="D47" i="2"/>
  <c r="F47" i="2" s="1"/>
  <c r="D48" i="2"/>
  <c r="D49" i="2"/>
  <c r="F49" i="2" s="1"/>
  <c r="D50" i="2"/>
  <c r="D51" i="2"/>
  <c r="F51" i="2" s="1"/>
  <c r="D52" i="2"/>
  <c r="D53" i="2"/>
  <c r="D54" i="2"/>
  <c r="D55" i="2"/>
  <c r="F55" i="2" s="1"/>
  <c r="D56" i="2"/>
  <c r="D57" i="2"/>
  <c r="F57" i="2" s="1"/>
  <c r="D58" i="2"/>
  <c r="F58" i="2" s="1"/>
  <c r="D59" i="2"/>
  <c r="F59" i="2" s="1"/>
  <c r="D60" i="2"/>
  <c r="D61" i="2"/>
  <c r="D62" i="2"/>
  <c r="F62" i="2" s="1"/>
  <c r="D63" i="2"/>
  <c r="F63" i="2" s="1"/>
  <c r="D64" i="2"/>
  <c r="D65" i="2"/>
  <c r="F65" i="2" s="1"/>
  <c r="D66" i="2"/>
  <c r="F66" i="2" s="1"/>
  <c r="D67" i="2"/>
  <c r="F67" i="2" s="1"/>
  <c r="D68" i="2"/>
  <c r="D69" i="2"/>
  <c r="D70" i="2"/>
  <c r="F70" i="2" s="1"/>
  <c r="D71" i="2"/>
  <c r="D72" i="2"/>
  <c r="D73" i="2"/>
  <c r="G73" i="2" s="1"/>
  <c r="D74" i="2"/>
  <c r="F74" i="2" s="1"/>
  <c r="D75" i="2"/>
  <c r="F75" i="2" s="1"/>
  <c r="D76" i="2"/>
  <c r="D77" i="2"/>
  <c r="D78" i="2"/>
  <c r="D79" i="2"/>
  <c r="D80" i="2"/>
  <c r="D81" i="2"/>
  <c r="F81" i="2" s="1"/>
  <c r="D82" i="2"/>
  <c r="D83" i="2"/>
  <c r="F83" i="2" s="1"/>
  <c r="D84" i="2"/>
  <c r="D85" i="2"/>
  <c r="D86" i="2"/>
  <c r="D87" i="2"/>
  <c r="D88" i="2"/>
  <c r="D89" i="2"/>
  <c r="F89" i="2" s="1"/>
  <c r="D90" i="2"/>
  <c r="F90" i="2" s="1"/>
  <c r="D91" i="2"/>
  <c r="F91" i="2" s="1"/>
  <c r="D92" i="2"/>
  <c r="D93" i="2"/>
  <c r="D94" i="2"/>
  <c r="D95" i="2"/>
  <c r="F95" i="2" s="1"/>
  <c r="D96" i="2"/>
  <c r="D97" i="2"/>
  <c r="F97" i="2" s="1"/>
  <c r="D98" i="2"/>
  <c r="F98" i="2" s="1"/>
  <c r="D99" i="2"/>
  <c r="F99" i="2" s="1"/>
  <c r="D100" i="2"/>
  <c r="D101" i="2"/>
  <c r="D102" i="2"/>
  <c r="F102" i="2" s="1"/>
  <c r="D103" i="2"/>
  <c r="F103" i="2" s="1"/>
  <c r="D104" i="2"/>
  <c r="D105" i="2"/>
  <c r="J105" i="2" s="1"/>
  <c r="D106" i="2"/>
  <c r="K106" i="2" s="1"/>
  <c r="D107" i="2"/>
  <c r="F107" i="2" s="1"/>
  <c r="D108" i="2"/>
  <c r="D109" i="2"/>
  <c r="D110" i="2"/>
  <c r="D111" i="2"/>
  <c r="D112" i="2"/>
  <c r="D113" i="2"/>
  <c r="F113" i="2" s="1"/>
  <c r="D114" i="2"/>
  <c r="L114" i="2" s="1"/>
  <c r="D115" i="2"/>
  <c r="F115" i="2" s="1"/>
  <c r="D116" i="2"/>
  <c r="D117" i="2"/>
  <c r="D118" i="2"/>
  <c r="D119" i="2"/>
  <c r="D120" i="2"/>
  <c r="D121" i="2"/>
  <c r="F121" i="2" s="1"/>
  <c r="D122" i="2"/>
  <c r="F122" i="2" s="1"/>
  <c r="D123" i="2"/>
  <c r="F123" i="2" s="1"/>
  <c r="D124" i="2"/>
  <c r="D125" i="2"/>
  <c r="D126" i="2"/>
  <c r="D127" i="2"/>
  <c r="F127" i="2" s="1"/>
  <c r="D128" i="2"/>
  <c r="D129" i="2"/>
  <c r="F129" i="2" s="1"/>
  <c r="D130" i="2"/>
  <c r="F130" i="2" s="1"/>
  <c r="D131" i="2"/>
  <c r="K131" i="2" s="1"/>
  <c r="D132" i="2"/>
  <c r="D133" i="2"/>
  <c r="D134" i="2"/>
  <c r="D135" i="2"/>
  <c r="F135" i="2" s="1"/>
  <c r="D136" i="2"/>
  <c r="D137" i="2"/>
  <c r="F137" i="2" s="1"/>
  <c r="D138" i="2"/>
  <c r="F138" i="2" s="1"/>
  <c r="D139" i="2"/>
  <c r="F139" i="2" s="1"/>
  <c r="D140" i="2"/>
  <c r="D141" i="2"/>
  <c r="D142" i="2"/>
  <c r="F142" i="2" s="1"/>
  <c r="D143" i="2"/>
  <c r="F143" i="2" s="1"/>
  <c r="D144" i="2"/>
  <c r="D145" i="2"/>
  <c r="F145" i="2" s="1"/>
  <c r="D146" i="2"/>
  <c r="D147" i="2"/>
  <c r="F147" i="2" s="1"/>
  <c r="D148" i="2"/>
  <c r="P148" i="2" s="1"/>
  <c r="D149" i="2"/>
  <c r="D150" i="2"/>
  <c r="D151" i="2"/>
  <c r="D152" i="2"/>
  <c r="D153" i="2"/>
  <c r="F153" i="2" s="1"/>
  <c r="D154" i="2"/>
  <c r="F154" i="2" s="1"/>
  <c r="D155" i="2"/>
  <c r="F155" i="2" s="1"/>
  <c r="D156" i="2"/>
  <c r="P156" i="2" s="1"/>
  <c r="D157" i="2"/>
  <c r="G157" i="2" s="1"/>
  <c r="D158" i="2"/>
  <c r="D159" i="2"/>
  <c r="D160" i="2"/>
  <c r="D161" i="2"/>
  <c r="I161" i="2" s="1"/>
  <c r="D162" i="2"/>
  <c r="F162" i="2" s="1"/>
  <c r="D163" i="2"/>
  <c r="L163" i="2" s="1"/>
  <c r="D164" i="2"/>
  <c r="D165" i="2"/>
  <c r="O165" i="2" s="1"/>
  <c r="D166" i="2"/>
  <c r="F166" i="2" s="1"/>
  <c r="D167" i="2"/>
  <c r="F167" i="2" s="1"/>
  <c r="D168" i="2"/>
  <c r="D169" i="2"/>
  <c r="P169" i="2" s="1"/>
  <c r="D170" i="2"/>
  <c r="G170" i="2" s="1"/>
  <c r="D171" i="2"/>
  <c r="F171" i="2" s="1"/>
  <c r="D172" i="2"/>
  <c r="J172" i="2" s="1"/>
  <c r="D173" i="2"/>
  <c r="D174" i="2"/>
  <c r="M174" i="2" s="1"/>
  <c r="D175" i="2"/>
  <c r="D176" i="2"/>
  <c r="D177" i="2"/>
  <c r="F177" i="2" s="1"/>
  <c r="D178" i="2"/>
  <c r="N178" i="2" s="1"/>
  <c r="D179" i="2"/>
  <c r="F179" i="2" s="1"/>
  <c r="D180" i="2"/>
  <c r="D181" i="2"/>
  <c r="D182" i="2"/>
  <c r="N182" i="2" s="1"/>
  <c r="D183" i="2"/>
  <c r="D184" i="2"/>
  <c r="D185" i="2"/>
  <c r="G185" i="2" s="1"/>
  <c r="D186" i="2"/>
  <c r="F186" i="2" s="1"/>
  <c r="D187" i="2"/>
  <c r="F187" i="2" s="1"/>
  <c r="D188" i="2"/>
  <c r="D189" i="2"/>
  <c r="D190" i="2"/>
  <c r="D191" i="2"/>
  <c r="L191" i="2" s="1"/>
  <c r="D192" i="2"/>
  <c r="D193" i="2"/>
  <c r="I193" i="2" s="1"/>
  <c r="D194" i="2"/>
  <c r="F194" i="2" s="1"/>
  <c r="D195" i="2"/>
  <c r="F195" i="2" s="1"/>
  <c r="D196" i="2"/>
  <c r="D197" i="2"/>
  <c r="D198" i="2"/>
  <c r="F198" i="2" s="1"/>
  <c r="D199" i="2"/>
  <c r="D200" i="2"/>
  <c r="I200" i="2" s="1"/>
  <c r="D201" i="2"/>
  <c r="P201" i="2" s="1"/>
  <c r="D202" i="2"/>
  <c r="F202" i="2" s="1"/>
  <c r="D203" i="2"/>
  <c r="F203" i="2" s="1"/>
  <c r="D204" i="2"/>
  <c r="D205" i="2"/>
  <c r="D206" i="2"/>
  <c r="F206" i="2" s="1"/>
  <c r="D207" i="2"/>
  <c r="D208" i="2"/>
  <c r="J208" i="2" s="1"/>
  <c r="D209" i="2"/>
  <c r="F209" i="2" s="1"/>
  <c r="D210" i="2"/>
  <c r="M210" i="2" s="1"/>
  <c r="D211" i="2"/>
  <c r="F211" i="2" s="1"/>
  <c r="D212" i="2"/>
  <c r="D213" i="2"/>
  <c r="D214" i="2"/>
  <c r="D215" i="2"/>
  <c r="F215" i="2" s="1"/>
  <c r="D216" i="2"/>
  <c r="D217" i="2"/>
  <c r="G217" i="2" s="1"/>
  <c r="D218" i="2"/>
  <c r="O218" i="2" s="1"/>
  <c r="D219" i="2"/>
  <c r="F219" i="2" s="1"/>
  <c r="D220" i="2"/>
  <c r="D221" i="2"/>
  <c r="D222" i="2"/>
  <c r="D223" i="2"/>
  <c r="K223" i="2" s="1"/>
  <c r="D224" i="2"/>
  <c r="D225" i="2"/>
  <c r="F225" i="2" s="1"/>
  <c r="D226" i="2"/>
  <c r="O226" i="2" s="1"/>
  <c r="D227" i="2"/>
  <c r="F227" i="2" s="1"/>
  <c r="D228" i="2"/>
  <c r="D229" i="2"/>
  <c r="D230" i="2"/>
  <c r="L230" i="2" s="1"/>
  <c r="D231" i="2"/>
  <c r="F231" i="2" s="1"/>
  <c r="D232" i="2"/>
  <c r="D233" i="2"/>
  <c r="I233" i="2" s="1"/>
  <c r="D234" i="2"/>
  <c r="F234" i="2" s="1"/>
  <c r="D235" i="2"/>
  <c r="F235" i="2" s="1"/>
  <c r="D236" i="2"/>
  <c r="P236" i="2" s="1"/>
  <c r="D237" i="2"/>
  <c r="D238" i="2"/>
  <c r="G238" i="2" s="1"/>
  <c r="D239" i="2"/>
  <c r="D240" i="2"/>
  <c r="D241" i="2"/>
  <c r="I241" i="2" s="1"/>
  <c r="D242" i="2"/>
  <c r="O242" i="2" s="1"/>
  <c r="D243" i="2"/>
  <c r="J243" i="2" s="1"/>
  <c r="D244" i="2"/>
  <c r="K244" i="2" s="1"/>
  <c r="D245" i="2"/>
  <c r="D246" i="2"/>
  <c r="F246" i="2" s="1"/>
  <c r="D247" i="2"/>
  <c r="D248" i="2"/>
  <c r="D249" i="2"/>
  <c r="I249" i="2" s="1"/>
  <c r="D250" i="2"/>
  <c r="F250" i="2" s="1"/>
  <c r="D251" i="2"/>
  <c r="F251" i="2" s="1"/>
  <c r="D252" i="2"/>
  <c r="K252" i="2" s="1"/>
  <c r="D253" i="2"/>
  <c r="D254" i="2"/>
  <c r="G254" i="2" s="1"/>
  <c r="D255" i="2"/>
  <c r="D256" i="2"/>
  <c r="D257" i="2"/>
  <c r="F257" i="2" s="1"/>
  <c r="D258" i="2"/>
  <c r="O258" i="2" s="1"/>
  <c r="D259" i="2"/>
  <c r="F259" i="2" s="1"/>
  <c r="D260" i="2"/>
  <c r="D261" i="2"/>
  <c r="D262" i="2"/>
  <c r="D263" i="2"/>
  <c r="F263" i="2" s="1"/>
  <c r="D264" i="2"/>
  <c r="D265" i="2"/>
  <c r="L265" i="2" s="1"/>
  <c r="D266" i="2"/>
  <c r="L266" i="2" s="1"/>
  <c r="D267" i="2"/>
  <c r="J267" i="2" s="1"/>
  <c r="D268" i="2"/>
  <c r="D269" i="2"/>
  <c r="N269" i="2" s="1"/>
  <c r="D270" i="2"/>
  <c r="L270" i="2" s="1"/>
  <c r="D271" i="2"/>
  <c r="D272" i="2"/>
  <c r="P272" i="2" s="1"/>
  <c r="D273" i="2"/>
  <c r="N273" i="2" s="1"/>
  <c r="D274" i="2"/>
  <c r="M274" i="2" s="1"/>
  <c r="D275" i="2"/>
  <c r="J275" i="2" s="1"/>
  <c r="D276" i="2"/>
  <c r="P276" i="2" s="1"/>
  <c r="D277" i="2"/>
  <c r="D278" i="2"/>
  <c r="M278" i="2" s="1"/>
  <c r="D279" i="2"/>
  <c r="J279" i="2" s="1"/>
  <c r="D280" i="2"/>
  <c r="D281" i="2"/>
  <c r="G281" i="2" s="1"/>
  <c r="D282" i="2"/>
  <c r="M282" i="2" s="1"/>
  <c r="D283" i="2"/>
  <c r="J283" i="2" s="1"/>
  <c r="D284" i="2"/>
  <c r="D285" i="2"/>
  <c r="N285" i="2" s="1"/>
  <c r="D286" i="2"/>
  <c r="L286" i="2" s="1"/>
  <c r="D287" i="2"/>
  <c r="F287" i="2" s="1"/>
  <c r="D288" i="2"/>
  <c r="P288" i="2" s="1"/>
  <c r="D289" i="2"/>
  <c r="N289" i="2" s="1"/>
  <c r="D290" i="2"/>
  <c r="M290" i="2" s="1"/>
  <c r="D291" i="2"/>
  <c r="J291" i="2" s="1"/>
  <c r="D292" i="2"/>
  <c r="P292" i="2" s="1"/>
  <c r="D293" i="2"/>
  <c r="D294" i="2"/>
  <c r="F294" i="2" s="1"/>
  <c r="D295" i="2"/>
  <c r="J295" i="2" s="1"/>
  <c r="D296" i="2"/>
  <c r="D297" i="2"/>
  <c r="G297" i="2" s="1"/>
  <c r="D298" i="2"/>
  <c r="M298" i="2" s="1"/>
  <c r="D299" i="2"/>
  <c r="J299" i="2" s="1"/>
  <c r="D300" i="2"/>
  <c r="D301" i="2"/>
  <c r="N301" i="2" s="1"/>
  <c r="D302" i="2"/>
  <c r="F302" i="2" s="1"/>
  <c r="D303" i="2"/>
  <c r="D304" i="2"/>
  <c r="P304" i="2" s="1"/>
  <c r="D305" i="2"/>
  <c r="N305" i="2" s="1"/>
  <c r="D306" i="2"/>
  <c r="M306" i="2" s="1"/>
  <c r="D307" i="2"/>
  <c r="J307" i="2" s="1"/>
  <c r="D308" i="2"/>
  <c r="J308" i="2" s="1"/>
  <c r="D309" i="2"/>
  <c r="P309" i="2" s="1"/>
  <c r="D310" i="2"/>
  <c r="L310" i="2" s="1"/>
  <c r="D311" i="2"/>
  <c r="K311" i="2" s="1"/>
  <c r="D312" i="2"/>
  <c r="I312" i="2" s="1"/>
  <c r="D313" i="2"/>
  <c r="H313" i="2" s="1"/>
  <c r="D314" i="2"/>
  <c r="N314" i="2" s="1"/>
  <c r="D315" i="2"/>
  <c r="F315" i="2" s="1"/>
  <c r="D316" i="2"/>
  <c r="I316" i="2" s="1"/>
  <c r="D317" i="2"/>
  <c r="G317" i="2" s="1"/>
  <c r="D318" i="2"/>
  <c r="L318" i="2" s="1"/>
  <c r="D319" i="2"/>
  <c r="D320" i="2"/>
  <c r="P320" i="2" s="1"/>
  <c r="D321" i="2"/>
  <c r="O321" i="2" s="1"/>
  <c r="D322" i="2"/>
  <c r="L322" i="2" s="1"/>
  <c r="D323" i="2"/>
  <c r="K323" i="2" s="1"/>
  <c r="D324" i="2"/>
  <c r="P324" i="2" s="1"/>
  <c r="D325" i="2"/>
  <c r="N325" i="2" s="1"/>
  <c r="D326" i="2"/>
  <c r="D327" i="2"/>
  <c r="F327" i="2" s="1"/>
  <c r="D328" i="2"/>
  <c r="D329" i="2"/>
  <c r="G329" i="2" s="1"/>
  <c r="D330" i="2"/>
  <c r="M330" i="2" s="1"/>
  <c r="D331" i="2"/>
  <c r="J331" i="2" s="1"/>
  <c r="D332" i="2"/>
  <c r="H332" i="2" s="1"/>
  <c r="D333" i="2"/>
  <c r="P333" i="2" s="1"/>
  <c r="D334" i="2"/>
  <c r="M334" i="2" s="1"/>
  <c r="D335" i="2"/>
  <c r="J335" i="2" s="1"/>
  <c r="D336" i="2"/>
  <c r="H336" i="2" s="1"/>
  <c r="D337" i="2"/>
  <c r="G337" i="2" s="1"/>
  <c r="D338" i="2"/>
  <c r="L338" i="2" s="1"/>
  <c r="D339" i="2"/>
  <c r="K339" i="2" s="1"/>
  <c r="D340" i="2"/>
  <c r="J340" i="2" s="1"/>
  <c r="D341" i="2"/>
  <c r="P341" i="2" s="1"/>
  <c r="D342" i="2"/>
  <c r="F342" i="2" s="1"/>
  <c r="D343" i="2"/>
  <c r="D344" i="2"/>
  <c r="I344" i="2" s="1"/>
  <c r="D345" i="2"/>
  <c r="H345" i="2" s="1"/>
  <c r="D346" i="2"/>
  <c r="N346" i="2" s="1"/>
  <c r="D347" i="2"/>
  <c r="F347" i="2" s="1"/>
  <c r="D348" i="2"/>
  <c r="I348" i="2" s="1"/>
  <c r="D349" i="2"/>
  <c r="I349" i="2" s="1"/>
  <c r="D350" i="2"/>
  <c r="K350" i="2" s="1"/>
  <c r="D351" i="2"/>
  <c r="I351" i="2" s="1"/>
  <c r="D352" i="2"/>
  <c r="G352" i="2" s="1"/>
  <c r="D353" i="2"/>
  <c r="M353" i="2" s="1"/>
  <c r="D354" i="2"/>
  <c r="K354" i="2" s="1"/>
  <c r="D355" i="2"/>
  <c r="I355" i="2" s="1"/>
  <c r="D356" i="2"/>
  <c r="G356" i="2" s="1"/>
  <c r="D357" i="2"/>
  <c r="M357" i="2" s="1"/>
  <c r="D358" i="2"/>
  <c r="K358" i="2" s="1"/>
  <c r="D359" i="2"/>
  <c r="I359" i="2" s="1"/>
  <c r="D360" i="2"/>
  <c r="G360" i="2" s="1"/>
  <c r="D361" i="2"/>
  <c r="M361" i="2" s="1"/>
  <c r="D362" i="2"/>
  <c r="K362" i="2" s="1"/>
  <c r="D363" i="2"/>
  <c r="I363" i="2" s="1"/>
  <c r="D364" i="2"/>
  <c r="G364" i="2" s="1"/>
  <c r="D365" i="2"/>
  <c r="M365" i="2" s="1"/>
  <c r="D2" i="2"/>
  <c r="L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2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C366" i="2" s="1"/>
  <c r="D366" i="2" s="1"/>
  <c r="B30" i="2"/>
  <c r="B31" i="2"/>
  <c r="B32" i="2"/>
  <c r="B33" i="2"/>
  <c r="B34" i="2"/>
  <c r="B21" i="2"/>
  <c r="B22" i="2"/>
  <c r="B23" i="2"/>
  <c r="B24" i="2"/>
  <c r="B25" i="2"/>
  <c r="B26" i="2"/>
  <c r="B27" i="2"/>
  <c r="B28" i="2"/>
  <c r="B2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" i="2"/>
  <c r="F3" i="1" l="1"/>
  <c r="G3" i="1" s="1"/>
  <c r="H3" i="1" s="1"/>
  <c r="F73" i="1"/>
  <c r="G73" i="1" s="1"/>
  <c r="H73" i="1" s="1"/>
  <c r="F5" i="1"/>
  <c r="G5" i="1" s="1"/>
  <c r="H5" i="1" s="1"/>
  <c r="F9" i="1"/>
  <c r="G9" i="1" s="1"/>
  <c r="H9" i="1" s="1"/>
  <c r="F101" i="1"/>
  <c r="G101" i="1" s="1"/>
  <c r="H101" i="1" s="1"/>
  <c r="F146" i="1"/>
  <c r="G146" i="1" s="1"/>
  <c r="H146" i="1" s="1"/>
  <c r="F144" i="1"/>
  <c r="G144" i="1" s="1"/>
  <c r="H144" i="1" s="1"/>
  <c r="F100" i="1"/>
  <c r="G100" i="1" s="1"/>
  <c r="H100" i="1" s="1"/>
  <c r="F135" i="1"/>
  <c r="G135" i="1" s="1"/>
  <c r="H135" i="1" s="1"/>
  <c r="F161" i="1"/>
  <c r="G161" i="1" s="1"/>
  <c r="H161" i="1" s="1"/>
  <c r="F117" i="1"/>
  <c r="G117" i="1" s="1"/>
  <c r="H117" i="1" s="1"/>
  <c r="F113" i="1"/>
  <c r="G113" i="1" s="1"/>
  <c r="H113" i="1" s="1"/>
  <c r="F54" i="1"/>
  <c r="G54" i="1" s="1"/>
  <c r="H54" i="1" s="1"/>
  <c r="F145" i="1"/>
  <c r="G145" i="1" s="1"/>
  <c r="H145" i="1" s="1"/>
  <c r="F52" i="1"/>
  <c r="G52" i="1" s="1"/>
  <c r="H52" i="1" s="1"/>
  <c r="F53" i="1"/>
  <c r="G53" i="1" s="1"/>
  <c r="H53" i="1" s="1"/>
  <c r="F143" i="1"/>
  <c r="G143" i="1" s="1"/>
  <c r="H143" i="1" s="1"/>
  <c r="F99" i="1"/>
  <c r="G99" i="1" s="1"/>
  <c r="H99" i="1" s="1"/>
  <c r="F140" i="1"/>
  <c r="G140" i="1" s="1"/>
  <c r="H140" i="1" s="1"/>
  <c r="F98" i="1"/>
  <c r="G98" i="1" s="1"/>
  <c r="H98" i="1" s="1"/>
  <c r="F142" i="1"/>
  <c r="G142" i="1" s="1"/>
  <c r="H142" i="1" s="1"/>
  <c r="F141" i="1"/>
  <c r="G141" i="1" s="1"/>
  <c r="H141" i="1" s="1"/>
  <c r="F51" i="1"/>
  <c r="G51" i="1" s="1"/>
  <c r="H51" i="1" s="1"/>
  <c r="F94" i="1"/>
  <c r="G94" i="1" s="1"/>
  <c r="H94" i="1" s="1"/>
  <c r="F50" i="1"/>
  <c r="G50" i="1" s="1"/>
  <c r="H50" i="1" s="1"/>
  <c r="F97" i="1"/>
  <c r="G97" i="1" s="1"/>
  <c r="H97" i="1" s="1"/>
  <c r="F95" i="1"/>
  <c r="G95" i="1" s="1"/>
  <c r="H95" i="1" s="1"/>
  <c r="F96" i="1"/>
  <c r="G96" i="1" s="1"/>
  <c r="H96" i="1" s="1"/>
  <c r="F49" i="1"/>
  <c r="G49" i="1" s="1"/>
  <c r="H49" i="1" s="1"/>
  <c r="F48" i="1"/>
  <c r="G48" i="1" s="1"/>
  <c r="H48" i="1" s="1"/>
  <c r="F93" i="1"/>
  <c r="G93" i="1" s="1"/>
  <c r="H93" i="1" s="1"/>
  <c r="F139" i="1"/>
  <c r="G139" i="1" s="1"/>
  <c r="H139" i="1" s="1"/>
  <c r="F137" i="1"/>
  <c r="G137" i="1" s="1"/>
  <c r="H137" i="1" s="1"/>
  <c r="F138" i="1"/>
  <c r="G138" i="1" s="1"/>
  <c r="H138" i="1" s="1"/>
  <c r="F134" i="1"/>
  <c r="G134" i="1" s="1"/>
  <c r="H134" i="1" s="1"/>
  <c r="F136" i="1"/>
  <c r="G136" i="1" s="1"/>
  <c r="H136" i="1" s="1"/>
  <c r="F47" i="1"/>
  <c r="G47" i="1" s="1"/>
  <c r="H47" i="1" s="1"/>
  <c r="F7" i="1"/>
  <c r="G7" i="1" s="1"/>
  <c r="H7" i="1" s="1"/>
  <c r="F133" i="1"/>
  <c r="G133" i="1" s="1"/>
  <c r="H133" i="1" s="1"/>
  <c r="F90" i="1"/>
  <c r="G90" i="1" s="1"/>
  <c r="H90" i="1" s="1"/>
  <c r="F42" i="1"/>
  <c r="G42" i="1" s="1"/>
  <c r="H42" i="1" s="1"/>
  <c r="F64" i="1"/>
  <c r="G64" i="1" s="1"/>
  <c r="H64" i="1" s="1"/>
  <c r="F63" i="1"/>
  <c r="G63" i="1" s="1"/>
  <c r="H63" i="1" s="1"/>
  <c r="F43" i="1"/>
  <c r="G43" i="1" s="1"/>
  <c r="H43" i="1" s="1"/>
  <c r="F62" i="1"/>
  <c r="G62" i="1" s="1"/>
  <c r="H62" i="1" s="1"/>
  <c r="F44" i="1"/>
  <c r="G44" i="1" s="1"/>
  <c r="H44" i="1" s="1"/>
  <c r="F45" i="1"/>
  <c r="G45" i="1" s="1"/>
  <c r="H45" i="1" s="1"/>
  <c r="F61" i="1"/>
  <c r="G61" i="1" s="1"/>
  <c r="H61" i="1" s="1"/>
  <c r="F46" i="1"/>
  <c r="G46" i="1" s="1"/>
  <c r="H46" i="1" s="1"/>
  <c r="F60" i="1"/>
  <c r="G60" i="1" s="1"/>
  <c r="H60" i="1" s="1"/>
  <c r="F91" i="1"/>
  <c r="G91" i="1" s="1"/>
  <c r="H91" i="1" s="1"/>
  <c r="F150" i="1"/>
  <c r="G150" i="1" s="1"/>
  <c r="H150" i="1" s="1"/>
  <c r="F89" i="1"/>
  <c r="G89" i="1" s="1"/>
  <c r="H89" i="1" s="1"/>
  <c r="F131" i="1"/>
  <c r="G131" i="1" s="1"/>
  <c r="H131" i="1" s="1"/>
  <c r="F132" i="1"/>
  <c r="G132" i="1" s="1"/>
  <c r="H132" i="1" s="1"/>
  <c r="F130" i="1"/>
  <c r="G130" i="1" s="1"/>
  <c r="H130" i="1" s="1"/>
  <c r="F41" i="1"/>
  <c r="G41" i="1" s="1"/>
  <c r="H41" i="1" s="1"/>
  <c r="F159" i="1"/>
  <c r="G159" i="1" s="1"/>
  <c r="H159" i="1" s="1"/>
  <c r="F87" i="1"/>
  <c r="G87" i="1" s="1"/>
  <c r="H87" i="1" s="1"/>
  <c r="F92" i="1"/>
  <c r="G92" i="1" s="1"/>
  <c r="H92" i="1" s="1"/>
  <c r="F79" i="1"/>
  <c r="G79" i="1" s="1"/>
  <c r="H79" i="1" s="1"/>
  <c r="F86" i="1"/>
  <c r="G86" i="1" s="1"/>
  <c r="H86" i="1" s="1"/>
  <c r="F129" i="1"/>
  <c r="G129" i="1" s="1"/>
  <c r="H129" i="1" s="1"/>
  <c r="F128" i="1"/>
  <c r="G128" i="1" s="1"/>
  <c r="H128" i="1" s="1"/>
  <c r="F127" i="1"/>
  <c r="G127" i="1" s="1"/>
  <c r="H127" i="1" s="1"/>
  <c r="F40" i="1"/>
  <c r="G40" i="1" s="1"/>
  <c r="H40" i="1" s="1"/>
  <c r="F156" i="1"/>
  <c r="G156" i="1" s="1"/>
  <c r="H156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158" i="1"/>
  <c r="G158" i="1" s="1"/>
  <c r="H158" i="1" s="1"/>
  <c r="F152" i="1"/>
  <c r="G152" i="1" s="1"/>
  <c r="H152" i="1" s="1"/>
  <c r="F155" i="1"/>
  <c r="G155" i="1" s="1"/>
  <c r="H155" i="1" s="1"/>
  <c r="F154" i="1"/>
  <c r="G154" i="1" s="1"/>
  <c r="H154" i="1" s="1"/>
  <c r="F153" i="1"/>
  <c r="G153" i="1" s="1"/>
  <c r="H153" i="1" s="1"/>
  <c r="F126" i="1"/>
  <c r="G126" i="1" s="1"/>
  <c r="H126" i="1" s="1"/>
  <c r="F157" i="1"/>
  <c r="G157" i="1" s="1"/>
  <c r="H157" i="1" s="1"/>
  <c r="F84" i="1"/>
  <c r="G84" i="1" s="1"/>
  <c r="H84" i="1" s="1"/>
  <c r="F85" i="1"/>
  <c r="G85" i="1" s="1"/>
  <c r="H85" i="1" s="1"/>
  <c r="F123" i="1"/>
  <c r="G123" i="1" s="1"/>
  <c r="H123" i="1" s="1"/>
  <c r="F83" i="1"/>
  <c r="G83" i="1" s="1"/>
  <c r="H83" i="1" s="1"/>
  <c r="F124" i="1"/>
  <c r="G124" i="1" s="1"/>
  <c r="H124" i="1" s="1"/>
  <c r="F31" i="1"/>
  <c r="G31" i="1" s="1"/>
  <c r="H31" i="1" s="1"/>
  <c r="F125" i="1"/>
  <c r="G125" i="1" s="1"/>
  <c r="H125" i="1" s="1"/>
  <c r="F34" i="1"/>
  <c r="G34" i="1" s="1"/>
  <c r="H34" i="1" s="1"/>
  <c r="F35" i="1"/>
  <c r="G35" i="1" s="1"/>
  <c r="H35" i="1" s="1"/>
  <c r="F80" i="1"/>
  <c r="G80" i="1" s="1"/>
  <c r="H80" i="1" s="1"/>
  <c r="F33" i="1"/>
  <c r="G33" i="1" s="1"/>
  <c r="H33" i="1" s="1"/>
  <c r="F32" i="1"/>
  <c r="G32" i="1" s="1"/>
  <c r="H32" i="1" s="1"/>
  <c r="F30" i="1"/>
  <c r="G30" i="1" s="1"/>
  <c r="H30" i="1" s="1"/>
  <c r="F122" i="1"/>
  <c r="G122" i="1" s="1"/>
  <c r="H122" i="1" s="1"/>
  <c r="F29" i="1"/>
  <c r="G29" i="1" s="1"/>
  <c r="H29" i="1" s="1"/>
  <c r="F28" i="1"/>
  <c r="G28" i="1" s="1"/>
  <c r="H28" i="1" s="1"/>
  <c r="F10" i="1"/>
  <c r="G10" i="1" s="1"/>
  <c r="H10" i="1" s="1"/>
  <c r="F6" i="1"/>
  <c r="G6" i="1" s="1"/>
  <c r="H6" i="1" s="1"/>
  <c r="F118" i="1"/>
  <c r="G118" i="1" s="1"/>
  <c r="H118" i="1" s="1"/>
  <c r="F78" i="1"/>
  <c r="G78" i="1" s="1"/>
  <c r="H78" i="1" s="1"/>
  <c r="F77" i="1"/>
  <c r="G77" i="1" s="1"/>
  <c r="H77" i="1" s="1"/>
  <c r="F27" i="1"/>
  <c r="G27" i="1" s="1"/>
  <c r="H27" i="1" s="1"/>
  <c r="F25" i="1"/>
  <c r="G25" i="1" s="1"/>
  <c r="H25" i="1" s="1"/>
  <c r="F120" i="1"/>
  <c r="G120" i="1" s="1"/>
  <c r="H120" i="1" s="1"/>
  <c r="F26" i="1"/>
  <c r="G26" i="1" s="1"/>
  <c r="H26" i="1" s="1"/>
  <c r="F119" i="1"/>
  <c r="G119" i="1" s="1"/>
  <c r="H119" i="1" s="1"/>
  <c r="F76" i="1"/>
  <c r="G76" i="1" s="1"/>
  <c r="H76" i="1" s="1"/>
  <c r="F75" i="1"/>
  <c r="G75" i="1" s="1"/>
  <c r="H75" i="1" s="1"/>
  <c r="F24" i="1"/>
  <c r="G24" i="1" s="1"/>
  <c r="H24" i="1" s="1"/>
  <c r="F116" i="1"/>
  <c r="G116" i="1" s="1"/>
  <c r="H116" i="1" s="1"/>
  <c r="F74" i="1"/>
  <c r="G74" i="1" s="1"/>
  <c r="H74" i="1" s="1"/>
  <c r="F151" i="1"/>
  <c r="G151" i="1" s="1"/>
  <c r="H151" i="1" s="1"/>
  <c r="F115" i="1"/>
  <c r="G115" i="1" s="1"/>
  <c r="H115" i="1" s="1"/>
  <c r="F72" i="1"/>
  <c r="G72" i="1" s="1"/>
  <c r="H72" i="1" s="1"/>
  <c r="F23" i="1"/>
  <c r="G23" i="1" s="1"/>
  <c r="H23" i="1" s="1"/>
  <c r="F88" i="1"/>
  <c r="G88" i="1" s="1"/>
  <c r="H88" i="1" s="1"/>
  <c r="F70" i="1"/>
  <c r="G70" i="1" s="1"/>
  <c r="H70" i="1" s="1"/>
  <c r="F71" i="1"/>
  <c r="G71" i="1" s="1"/>
  <c r="H71" i="1" s="1"/>
  <c r="F22" i="1"/>
  <c r="G22" i="1" s="1"/>
  <c r="H22" i="1" s="1"/>
  <c r="F21" i="1"/>
  <c r="G21" i="1" s="1"/>
  <c r="H21" i="1" s="1"/>
  <c r="F114" i="1"/>
  <c r="G114" i="1" s="1"/>
  <c r="H114" i="1" s="1"/>
  <c r="F109" i="1"/>
  <c r="G109" i="1" s="1"/>
  <c r="H109" i="1" s="1"/>
  <c r="I82" i="4"/>
  <c r="F20" i="1"/>
  <c r="G20" i="1" s="1"/>
  <c r="H20" i="1" s="1"/>
  <c r="L42" i="4"/>
  <c r="D50" i="4"/>
  <c r="I77" i="4"/>
  <c r="D81" i="4"/>
  <c r="G65" i="4"/>
  <c r="J2" i="4"/>
  <c r="F68" i="4"/>
  <c r="N36" i="4"/>
  <c r="N60" i="4"/>
  <c r="I75" i="4"/>
  <c r="N73" i="4"/>
  <c r="H9" i="4"/>
  <c r="F19" i="1"/>
  <c r="G19" i="1" s="1"/>
  <c r="H19" i="1" s="1"/>
  <c r="F112" i="1"/>
  <c r="G112" i="1" s="1"/>
  <c r="H112" i="1" s="1"/>
  <c r="F111" i="1"/>
  <c r="G111" i="1" s="1"/>
  <c r="H111" i="1" s="1"/>
  <c r="F110" i="1"/>
  <c r="G110" i="1" s="1"/>
  <c r="H110" i="1" s="1"/>
  <c r="F18" i="1"/>
  <c r="G18" i="1" s="1"/>
  <c r="H18" i="1" s="1"/>
  <c r="F17" i="1"/>
  <c r="G17" i="1" s="1"/>
  <c r="H17" i="1" s="1"/>
  <c r="F65" i="1"/>
  <c r="G65" i="1" s="1"/>
  <c r="H65" i="1" s="1"/>
  <c r="F82" i="1"/>
  <c r="G82" i="1" s="1"/>
  <c r="H82" i="1" s="1"/>
  <c r="F81" i="1"/>
  <c r="G81" i="1" s="1"/>
  <c r="H81" i="1" s="1"/>
  <c r="F108" i="1"/>
  <c r="G108" i="1" s="1"/>
  <c r="H108" i="1" s="1"/>
  <c r="F68" i="1"/>
  <c r="G68" i="1" s="1"/>
  <c r="H68" i="1" s="1"/>
  <c r="F67" i="1"/>
  <c r="G67" i="1" s="1"/>
  <c r="H67" i="1" s="1"/>
  <c r="F16" i="1"/>
  <c r="G16" i="1" s="1"/>
  <c r="H16" i="1" s="1"/>
  <c r="F66" i="1"/>
  <c r="G66" i="1" s="1"/>
  <c r="H66" i="1" s="1"/>
  <c r="F59" i="1"/>
  <c r="G59" i="1" s="1"/>
  <c r="H59" i="1" s="1"/>
  <c r="F107" i="1"/>
  <c r="G107" i="1" s="1"/>
  <c r="H107" i="1" s="1"/>
  <c r="F69" i="1"/>
  <c r="G69" i="1" s="1"/>
  <c r="H69" i="1" s="1"/>
  <c r="F106" i="1"/>
  <c r="G106" i="1" s="1"/>
  <c r="H106" i="1" s="1"/>
  <c r="F149" i="1"/>
  <c r="G149" i="1" s="1"/>
  <c r="H149" i="1" s="1"/>
  <c r="F105" i="1"/>
  <c r="G105" i="1" s="1"/>
  <c r="H105" i="1" s="1"/>
  <c r="F14" i="1"/>
  <c r="G14" i="1" s="1"/>
  <c r="H14" i="1" s="1"/>
  <c r="F15" i="1"/>
  <c r="G15" i="1" s="1"/>
  <c r="H15" i="1" s="1"/>
  <c r="F13" i="1"/>
  <c r="G13" i="1" s="1"/>
  <c r="H13" i="1" s="1"/>
  <c r="F57" i="1"/>
  <c r="G57" i="1" s="1"/>
  <c r="H57" i="1" s="1"/>
  <c r="F104" i="1"/>
  <c r="G104" i="1" s="1"/>
  <c r="H104" i="1" s="1"/>
  <c r="F58" i="1"/>
  <c r="G58" i="1" s="1"/>
  <c r="H58" i="1" s="1"/>
  <c r="F160" i="1"/>
  <c r="G160" i="1" s="1"/>
  <c r="H160" i="1" s="1"/>
  <c r="F121" i="1"/>
  <c r="G121" i="1" s="1"/>
  <c r="H121" i="1" s="1"/>
  <c r="H56" i="4"/>
  <c r="J82" i="4"/>
  <c r="E81" i="4"/>
  <c r="J77" i="4"/>
  <c r="M75" i="4"/>
  <c r="H74" i="4"/>
  <c r="N72" i="4"/>
  <c r="M68" i="4"/>
  <c r="G67" i="4"/>
  <c r="M65" i="4"/>
  <c r="L61" i="4"/>
  <c r="H57" i="4"/>
  <c r="E50" i="4"/>
  <c r="F44" i="4"/>
  <c r="E33" i="4"/>
  <c r="M26" i="4"/>
  <c r="D21" i="4"/>
  <c r="E17" i="4"/>
  <c r="M9" i="4"/>
  <c r="H82" i="4"/>
  <c r="N80" i="4"/>
  <c r="M76" i="4"/>
  <c r="G75" i="4"/>
  <c r="M73" i="4"/>
  <c r="H72" i="4"/>
  <c r="K68" i="4"/>
  <c r="E67" i="4"/>
  <c r="K65" i="4"/>
  <c r="D60" i="4"/>
  <c r="H54" i="4"/>
  <c r="M49" i="4"/>
  <c r="J42" i="4"/>
  <c r="L36" i="4"/>
  <c r="J32" i="4"/>
  <c r="J26" i="4"/>
  <c r="I19" i="4"/>
  <c r="K13" i="4"/>
  <c r="G9" i="4"/>
  <c r="N81" i="4"/>
  <c r="I80" i="4"/>
  <c r="L76" i="4"/>
  <c r="F75" i="4"/>
  <c r="L73" i="4"/>
  <c r="G72" i="4"/>
  <c r="E68" i="4"/>
  <c r="K66" i="4"/>
  <c r="F65" i="4"/>
  <c r="J59" i="4"/>
  <c r="G52" i="4"/>
  <c r="J48" i="4"/>
  <c r="E42" i="4"/>
  <c r="G36" i="4"/>
  <c r="H32" i="4"/>
  <c r="G25" i="4"/>
  <c r="I13" i="4"/>
  <c r="M81" i="4"/>
  <c r="H80" i="4"/>
  <c r="K76" i="4"/>
  <c r="E75" i="4"/>
  <c r="K73" i="4"/>
  <c r="F72" i="4"/>
  <c r="D68" i="4"/>
  <c r="J66" i="4"/>
  <c r="E65" i="4"/>
  <c r="F52" i="4"/>
  <c r="M34" i="4"/>
  <c r="D29" i="4"/>
  <c r="M18" i="4"/>
  <c r="J11" i="4"/>
  <c r="I5" i="4"/>
  <c r="L81" i="4"/>
  <c r="G80" i="4"/>
  <c r="E76" i="4"/>
  <c r="K74" i="4"/>
  <c r="F73" i="4"/>
  <c r="G70" i="4"/>
  <c r="N67" i="4"/>
  <c r="I66" i="4"/>
  <c r="D65" i="4"/>
  <c r="E58" i="4"/>
  <c r="I46" i="4"/>
  <c r="K40" i="4"/>
  <c r="L34" i="4"/>
  <c r="N28" i="4"/>
  <c r="K24" i="4"/>
  <c r="L18" i="4"/>
  <c r="I11" i="4"/>
  <c r="I72" i="4"/>
  <c r="K81" i="4"/>
  <c r="F80" i="4"/>
  <c r="D76" i="4"/>
  <c r="J74" i="4"/>
  <c r="E73" i="4"/>
  <c r="J69" i="4"/>
  <c r="M67" i="4"/>
  <c r="H66" i="4"/>
  <c r="N64" i="4"/>
  <c r="L44" i="4"/>
  <c r="J40" i="4"/>
  <c r="J34" i="4"/>
  <c r="J24" i="4"/>
  <c r="H17" i="4"/>
  <c r="L4" i="4"/>
  <c r="K16" i="4"/>
  <c r="K82" i="4"/>
  <c r="F81" i="4"/>
  <c r="G78" i="4"/>
  <c r="N75" i="4"/>
  <c r="I74" i="4"/>
  <c r="D73" i="4"/>
  <c r="I69" i="4"/>
  <c r="H67" i="4"/>
  <c r="N65" i="4"/>
  <c r="F62" i="4"/>
  <c r="M57" i="4"/>
  <c r="E34" i="4"/>
  <c r="M10" i="4"/>
  <c r="G55" i="4"/>
  <c r="H55" i="4"/>
  <c r="I55" i="4"/>
  <c r="J55" i="4"/>
  <c r="D55" i="4"/>
  <c r="L55" i="4"/>
  <c r="G15" i="4"/>
  <c r="H15" i="4"/>
  <c r="I15" i="4"/>
  <c r="J15" i="4"/>
  <c r="D15" i="4"/>
  <c r="L15" i="4"/>
  <c r="L79" i="4"/>
  <c r="J38" i="4"/>
  <c r="K38" i="4"/>
  <c r="D38" i="4"/>
  <c r="L38" i="4"/>
  <c r="E38" i="4"/>
  <c r="M38" i="4"/>
  <c r="G38" i="4"/>
  <c r="K79" i="4"/>
  <c r="E21" i="4"/>
  <c r="M21" i="4"/>
  <c r="F21" i="4"/>
  <c r="N21" i="4"/>
  <c r="G21" i="4"/>
  <c r="H21" i="4"/>
  <c r="J21" i="4"/>
  <c r="J79" i="4"/>
  <c r="H28" i="4"/>
  <c r="I28" i="4"/>
  <c r="J28" i="4"/>
  <c r="K28" i="4"/>
  <c r="E28" i="4"/>
  <c r="M28" i="4"/>
  <c r="D78" i="4"/>
  <c r="G4" i="4"/>
  <c r="G63" i="4"/>
  <c r="H63" i="4"/>
  <c r="I63" i="4"/>
  <c r="J63" i="4"/>
  <c r="D63" i="4"/>
  <c r="L63" i="4"/>
  <c r="G39" i="4"/>
  <c r="H39" i="4"/>
  <c r="I39" i="4"/>
  <c r="J39" i="4"/>
  <c r="D39" i="4"/>
  <c r="L39" i="4"/>
  <c r="G23" i="4"/>
  <c r="H23" i="4"/>
  <c r="I23" i="4"/>
  <c r="J23" i="4"/>
  <c r="D23" i="4"/>
  <c r="L23" i="4"/>
  <c r="D79" i="4"/>
  <c r="J30" i="4"/>
  <c r="K30" i="4"/>
  <c r="D30" i="4"/>
  <c r="L30" i="4"/>
  <c r="E30" i="4"/>
  <c r="M30" i="4"/>
  <c r="G30" i="4"/>
  <c r="F70" i="4"/>
  <c r="E61" i="4"/>
  <c r="M61" i="4"/>
  <c r="F61" i="4"/>
  <c r="N61" i="4"/>
  <c r="G61" i="4"/>
  <c r="H61" i="4"/>
  <c r="J61" i="4"/>
  <c r="E37" i="4"/>
  <c r="M37" i="4"/>
  <c r="F37" i="4"/>
  <c r="N37" i="4"/>
  <c r="G37" i="4"/>
  <c r="H37" i="4"/>
  <c r="J37" i="4"/>
  <c r="M55" i="4"/>
  <c r="H38" i="4"/>
  <c r="E2" i="4"/>
  <c r="H52" i="4"/>
  <c r="I52" i="4"/>
  <c r="J52" i="4"/>
  <c r="K52" i="4"/>
  <c r="E52" i="4"/>
  <c r="M52" i="4"/>
  <c r="H20" i="4"/>
  <c r="I20" i="4"/>
  <c r="J20" i="4"/>
  <c r="K20" i="4"/>
  <c r="E20" i="4"/>
  <c r="M20" i="4"/>
  <c r="I79" i="4"/>
  <c r="J76" i="4"/>
  <c r="L70" i="4"/>
  <c r="J68" i="4"/>
  <c r="K53" i="4"/>
  <c r="M47" i="4"/>
  <c r="F38" i="4"/>
  <c r="F2" i="4"/>
  <c r="N2" i="4"/>
  <c r="K59" i="4"/>
  <c r="D59" i="4"/>
  <c r="L59" i="4"/>
  <c r="E59" i="4"/>
  <c r="M59" i="4"/>
  <c r="F59" i="4"/>
  <c r="N59" i="4"/>
  <c r="H59" i="4"/>
  <c r="K51" i="4"/>
  <c r="D51" i="4"/>
  <c r="L51" i="4"/>
  <c r="E51" i="4"/>
  <c r="M51" i="4"/>
  <c r="F51" i="4"/>
  <c r="N51" i="4"/>
  <c r="H51" i="4"/>
  <c r="K43" i="4"/>
  <c r="D43" i="4"/>
  <c r="L43" i="4"/>
  <c r="E43" i="4"/>
  <c r="M43" i="4"/>
  <c r="F43" i="4"/>
  <c r="N43" i="4"/>
  <c r="H43" i="4"/>
  <c r="K35" i="4"/>
  <c r="D35" i="4"/>
  <c r="L35" i="4"/>
  <c r="E35" i="4"/>
  <c r="M35" i="4"/>
  <c r="F35" i="4"/>
  <c r="N35" i="4"/>
  <c r="H35" i="4"/>
  <c r="K27" i="4"/>
  <c r="D27" i="4"/>
  <c r="L27" i="4"/>
  <c r="E27" i="4"/>
  <c r="M27" i="4"/>
  <c r="F27" i="4"/>
  <c r="N27" i="4"/>
  <c r="H27" i="4"/>
  <c r="K19" i="4"/>
  <c r="D19" i="4"/>
  <c r="L19" i="4"/>
  <c r="E19" i="4"/>
  <c r="M19" i="4"/>
  <c r="F19" i="4"/>
  <c r="N19" i="4"/>
  <c r="H19" i="4"/>
  <c r="K11" i="4"/>
  <c r="D11" i="4"/>
  <c r="L11" i="4"/>
  <c r="E11" i="4"/>
  <c r="M11" i="4"/>
  <c r="F11" i="4"/>
  <c r="N11" i="4"/>
  <c r="H11" i="4"/>
  <c r="K3" i="4"/>
  <c r="D3" i="4"/>
  <c r="L3" i="4"/>
  <c r="E3" i="4"/>
  <c r="M3" i="4"/>
  <c r="F3" i="4"/>
  <c r="N3" i="4"/>
  <c r="H3" i="4"/>
  <c r="I3" i="4"/>
  <c r="G82" i="4"/>
  <c r="J81" i="4"/>
  <c r="M80" i="4"/>
  <c r="E80" i="4"/>
  <c r="H79" i="4"/>
  <c r="K78" i="4"/>
  <c r="N77" i="4"/>
  <c r="F77" i="4"/>
  <c r="I76" i="4"/>
  <c r="L75" i="4"/>
  <c r="D75" i="4"/>
  <c r="G74" i="4"/>
  <c r="J73" i="4"/>
  <c r="M72" i="4"/>
  <c r="E72" i="4"/>
  <c r="H71" i="4"/>
  <c r="K70" i="4"/>
  <c r="N69" i="4"/>
  <c r="F69" i="4"/>
  <c r="I68" i="4"/>
  <c r="L67" i="4"/>
  <c r="D67" i="4"/>
  <c r="G66" i="4"/>
  <c r="J65" i="4"/>
  <c r="M64" i="4"/>
  <c r="E63" i="4"/>
  <c r="D61" i="4"/>
  <c r="G59" i="4"/>
  <c r="G57" i="4"/>
  <c r="F55" i="4"/>
  <c r="I53" i="4"/>
  <c r="I51" i="4"/>
  <c r="H49" i="4"/>
  <c r="K45" i="4"/>
  <c r="J43" i="4"/>
  <c r="M41" i="4"/>
  <c r="M39" i="4"/>
  <c r="L37" i="4"/>
  <c r="D36" i="4"/>
  <c r="N31" i="4"/>
  <c r="F30" i="4"/>
  <c r="F28" i="4"/>
  <c r="H22" i="4"/>
  <c r="G20" i="4"/>
  <c r="J16" i="4"/>
  <c r="K8" i="4"/>
  <c r="N6" i="4"/>
  <c r="G47" i="4"/>
  <c r="H47" i="4"/>
  <c r="I47" i="4"/>
  <c r="J47" i="4"/>
  <c r="D47" i="4"/>
  <c r="L47" i="4"/>
  <c r="G7" i="4"/>
  <c r="H7" i="4"/>
  <c r="I7" i="4"/>
  <c r="J7" i="4"/>
  <c r="D7" i="4"/>
  <c r="L7" i="4"/>
  <c r="D71" i="4"/>
  <c r="N63" i="4"/>
  <c r="J14" i="4"/>
  <c r="K14" i="4"/>
  <c r="D14" i="4"/>
  <c r="L14" i="4"/>
  <c r="E14" i="4"/>
  <c r="M14" i="4"/>
  <c r="G14" i="4"/>
  <c r="F78" i="4"/>
  <c r="K71" i="4"/>
  <c r="L2" i="4"/>
  <c r="E13" i="4"/>
  <c r="M13" i="4"/>
  <c r="F13" i="4"/>
  <c r="N13" i="4"/>
  <c r="G13" i="4"/>
  <c r="H13" i="4"/>
  <c r="J13" i="4"/>
  <c r="M78" i="4"/>
  <c r="M70" i="4"/>
  <c r="K63" i="4"/>
  <c r="M2" i="4"/>
  <c r="H44" i="4"/>
  <c r="I44" i="4"/>
  <c r="J44" i="4"/>
  <c r="K44" i="4"/>
  <c r="E44" i="4"/>
  <c r="M44" i="4"/>
  <c r="H12" i="4"/>
  <c r="I12" i="4"/>
  <c r="J12" i="4"/>
  <c r="K12" i="4"/>
  <c r="E12" i="4"/>
  <c r="M12" i="4"/>
  <c r="L78" i="4"/>
  <c r="I71" i="4"/>
  <c r="G69" i="4"/>
  <c r="F63" i="4"/>
  <c r="D44" i="4"/>
  <c r="H30" i="4"/>
  <c r="G28" i="4"/>
  <c r="I22" i="4"/>
  <c r="L20" i="4"/>
  <c r="N12" i="4"/>
  <c r="G2" i="4"/>
  <c r="F58" i="4"/>
  <c r="N58" i="4"/>
  <c r="G58" i="4"/>
  <c r="H58" i="4"/>
  <c r="I58" i="4"/>
  <c r="K58" i="4"/>
  <c r="F50" i="4"/>
  <c r="N50" i="4"/>
  <c r="G50" i="4"/>
  <c r="H50" i="4"/>
  <c r="I50" i="4"/>
  <c r="K50" i="4"/>
  <c r="F42" i="4"/>
  <c r="N42" i="4"/>
  <c r="G42" i="4"/>
  <c r="H42" i="4"/>
  <c r="I42" i="4"/>
  <c r="K42" i="4"/>
  <c r="F34" i="4"/>
  <c r="N34" i="4"/>
  <c r="G34" i="4"/>
  <c r="H34" i="4"/>
  <c r="I34" i="4"/>
  <c r="K34" i="4"/>
  <c r="F26" i="4"/>
  <c r="N26" i="4"/>
  <c r="G26" i="4"/>
  <c r="H26" i="4"/>
  <c r="I26" i="4"/>
  <c r="K26" i="4"/>
  <c r="F18" i="4"/>
  <c r="N18" i="4"/>
  <c r="G18" i="4"/>
  <c r="H18" i="4"/>
  <c r="I18" i="4"/>
  <c r="K18" i="4"/>
  <c r="F10" i="4"/>
  <c r="N10" i="4"/>
  <c r="G10" i="4"/>
  <c r="H10" i="4"/>
  <c r="I10" i="4"/>
  <c r="K10" i="4"/>
  <c r="N82" i="4"/>
  <c r="F82" i="4"/>
  <c r="I81" i="4"/>
  <c r="L80" i="4"/>
  <c r="D80" i="4"/>
  <c r="G79" i="4"/>
  <c r="J78" i="4"/>
  <c r="M77" i="4"/>
  <c r="E77" i="4"/>
  <c r="H76" i="4"/>
  <c r="K75" i="4"/>
  <c r="N74" i="4"/>
  <c r="F74" i="4"/>
  <c r="I73" i="4"/>
  <c r="L72" i="4"/>
  <c r="D72" i="4"/>
  <c r="G71" i="4"/>
  <c r="J70" i="4"/>
  <c r="M69" i="4"/>
  <c r="E69" i="4"/>
  <c r="H68" i="4"/>
  <c r="K67" i="4"/>
  <c r="N66" i="4"/>
  <c r="F66" i="4"/>
  <c r="I65" i="4"/>
  <c r="K64" i="4"/>
  <c r="N62" i="4"/>
  <c r="M58" i="4"/>
  <c r="E55" i="4"/>
  <c r="D53" i="4"/>
  <c r="G51" i="4"/>
  <c r="F47" i="4"/>
  <c r="I43" i="4"/>
  <c r="K39" i="4"/>
  <c r="K37" i="4"/>
  <c r="J35" i="4"/>
  <c r="M31" i="4"/>
  <c r="L29" i="4"/>
  <c r="D28" i="4"/>
  <c r="D26" i="4"/>
  <c r="N23" i="4"/>
  <c r="F20" i="4"/>
  <c r="E18" i="4"/>
  <c r="H14" i="4"/>
  <c r="G12" i="4"/>
  <c r="J10" i="4"/>
  <c r="J8" i="4"/>
  <c r="I6" i="4"/>
  <c r="J3" i="4"/>
  <c r="J54" i="4"/>
  <c r="K54" i="4"/>
  <c r="D54" i="4"/>
  <c r="L54" i="4"/>
  <c r="E54" i="4"/>
  <c r="M54" i="4"/>
  <c r="G54" i="4"/>
  <c r="J22" i="4"/>
  <c r="K22" i="4"/>
  <c r="D22" i="4"/>
  <c r="L22" i="4"/>
  <c r="E22" i="4"/>
  <c r="M22" i="4"/>
  <c r="G22" i="4"/>
  <c r="N78" i="4"/>
  <c r="N55" i="4"/>
  <c r="I38" i="4"/>
  <c r="E45" i="4"/>
  <c r="M45" i="4"/>
  <c r="F45" i="4"/>
  <c r="N45" i="4"/>
  <c r="G45" i="4"/>
  <c r="H45" i="4"/>
  <c r="J45" i="4"/>
  <c r="E5" i="4"/>
  <c r="M5" i="4"/>
  <c r="F5" i="4"/>
  <c r="N5" i="4"/>
  <c r="G5" i="4"/>
  <c r="H5" i="4"/>
  <c r="J5" i="4"/>
  <c r="K5" i="4"/>
  <c r="H77" i="4"/>
  <c r="J71" i="4"/>
  <c r="H69" i="4"/>
  <c r="N47" i="4"/>
  <c r="I30" i="4"/>
  <c r="E15" i="4"/>
  <c r="H60" i="4"/>
  <c r="I60" i="4"/>
  <c r="J60" i="4"/>
  <c r="K60" i="4"/>
  <c r="E60" i="4"/>
  <c r="M60" i="4"/>
  <c r="H36" i="4"/>
  <c r="I36" i="4"/>
  <c r="J36" i="4"/>
  <c r="K36" i="4"/>
  <c r="E36" i="4"/>
  <c r="M36" i="4"/>
  <c r="H4" i="4"/>
  <c r="I4" i="4"/>
  <c r="J4" i="4"/>
  <c r="K4" i="4"/>
  <c r="E4" i="4"/>
  <c r="M4" i="4"/>
  <c r="F4" i="4"/>
  <c r="N4" i="4"/>
  <c r="G77" i="4"/>
  <c r="D70" i="4"/>
  <c r="L45" i="4"/>
  <c r="N39" i="4"/>
  <c r="N14" i="4"/>
  <c r="H2" i="4"/>
  <c r="I57" i="4"/>
  <c r="J57" i="4"/>
  <c r="K57" i="4"/>
  <c r="D57" i="4"/>
  <c r="L57" i="4"/>
  <c r="F57" i="4"/>
  <c r="N57" i="4"/>
  <c r="I49" i="4"/>
  <c r="J49" i="4"/>
  <c r="K49" i="4"/>
  <c r="D49" i="4"/>
  <c r="L49" i="4"/>
  <c r="F49" i="4"/>
  <c r="N49" i="4"/>
  <c r="I41" i="4"/>
  <c r="J41" i="4"/>
  <c r="K41" i="4"/>
  <c r="D41" i="4"/>
  <c r="L41" i="4"/>
  <c r="F41" i="4"/>
  <c r="N41" i="4"/>
  <c r="I33" i="4"/>
  <c r="J33" i="4"/>
  <c r="K33" i="4"/>
  <c r="D33" i="4"/>
  <c r="L33" i="4"/>
  <c r="F33" i="4"/>
  <c r="N33" i="4"/>
  <c r="I25" i="4"/>
  <c r="J25" i="4"/>
  <c r="K25" i="4"/>
  <c r="D25" i="4"/>
  <c r="L25" i="4"/>
  <c r="F25" i="4"/>
  <c r="N25" i="4"/>
  <c r="I17" i="4"/>
  <c r="J17" i="4"/>
  <c r="K17" i="4"/>
  <c r="D17" i="4"/>
  <c r="L17" i="4"/>
  <c r="F17" i="4"/>
  <c r="N17" i="4"/>
  <c r="I9" i="4"/>
  <c r="J9" i="4"/>
  <c r="K9" i="4"/>
  <c r="D9" i="4"/>
  <c r="L9" i="4"/>
  <c r="F9" i="4"/>
  <c r="N9" i="4"/>
  <c r="M82" i="4"/>
  <c r="E82" i="4"/>
  <c r="H81" i="4"/>
  <c r="K80" i="4"/>
  <c r="N79" i="4"/>
  <c r="F79" i="4"/>
  <c r="I78" i="4"/>
  <c r="L77" i="4"/>
  <c r="D77" i="4"/>
  <c r="G76" i="4"/>
  <c r="J75" i="4"/>
  <c r="M74" i="4"/>
  <c r="E74" i="4"/>
  <c r="H73" i="4"/>
  <c r="K72" i="4"/>
  <c r="N71" i="4"/>
  <c r="F71" i="4"/>
  <c r="I70" i="4"/>
  <c r="L69" i="4"/>
  <c r="D69" i="4"/>
  <c r="G68" i="4"/>
  <c r="J67" i="4"/>
  <c r="M66" i="4"/>
  <c r="E66" i="4"/>
  <c r="H65" i="4"/>
  <c r="L60" i="4"/>
  <c r="L58" i="4"/>
  <c r="N54" i="4"/>
  <c r="N52" i="4"/>
  <c r="M50" i="4"/>
  <c r="E49" i="4"/>
  <c r="E47" i="4"/>
  <c r="D45" i="4"/>
  <c r="G43" i="4"/>
  <c r="G41" i="4"/>
  <c r="F39" i="4"/>
  <c r="I37" i="4"/>
  <c r="I35" i="4"/>
  <c r="H33" i="4"/>
  <c r="J27" i="4"/>
  <c r="M25" i="4"/>
  <c r="M23" i="4"/>
  <c r="L21" i="4"/>
  <c r="D20" i="4"/>
  <c r="D18" i="4"/>
  <c r="N15" i="4"/>
  <c r="F14" i="4"/>
  <c r="F12" i="4"/>
  <c r="E10" i="4"/>
  <c r="G3" i="4"/>
  <c r="G31" i="4"/>
  <c r="H31" i="4"/>
  <c r="I31" i="4"/>
  <c r="J31" i="4"/>
  <c r="D31" i="4"/>
  <c r="L31" i="4"/>
  <c r="L71" i="4"/>
  <c r="E31" i="4"/>
  <c r="F23" i="4"/>
  <c r="K15" i="4"/>
  <c r="M7" i="4"/>
  <c r="K2" i="4"/>
  <c r="J62" i="4"/>
  <c r="K62" i="4"/>
  <c r="D62" i="4"/>
  <c r="L62" i="4"/>
  <c r="E62" i="4"/>
  <c r="M62" i="4"/>
  <c r="G62" i="4"/>
  <c r="J46" i="4"/>
  <c r="K46" i="4"/>
  <c r="D46" i="4"/>
  <c r="L46" i="4"/>
  <c r="E46" i="4"/>
  <c r="M46" i="4"/>
  <c r="G46" i="4"/>
  <c r="J6" i="4"/>
  <c r="K6" i="4"/>
  <c r="D6" i="4"/>
  <c r="L6" i="4"/>
  <c r="E6" i="4"/>
  <c r="M6" i="4"/>
  <c r="G6" i="4"/>
  <c r="H6" i="4"/>
  <c r="N70" i="4"/>
  <c r="M63" i="4"/>
  <c r="N30" i="4"/>
  <c r="E23" i="4"/>
  <c r="F15" i="4"/>
  <c r="K7" i="4"/>
  <c r="D2" i="4"/>
  <c r="E53" i="4"/>
  <c r="M53" i="4"/>
  <c r="F53" i="4"/>
  <c r="N53" i="4"/>
  <c r="G53" i="4"/>
  <c r="H53" i="4"/>
  <c r="J53" i="4"/>
  <c r="E29" i="4"/>
  <c r="M29" i="4"/>
  <c r="F29" i="4"/>
  <c r="N29" i="4"/>
  <c r="G29" i="4"/>
  <c r="H29" i="4"/>
  <c r="J29" i="4"/>
  <c r="E78" i="4"/>
  <c r="E70" i="4"/>
  <c r="K61" i="4"/>
  <c r="F46" i="4"/>
  <c r="N22" i="4"/>
  <c r="F7" i="4"/>
  <c r="K55" i="4"/>
  <c r="D64" i="4"/>
  <c r="L64" i="4"/>
  <c r="E64" i="4"/>
  <c r="F64" i="4"/>
  <c r="G64" i="4"/>
  <c r="I64" i="4"/>
  <c r="D56" i="4"/>
  <c r="L56" i="4"/>
  <c r="E56" i="4"/>
  <c r="M56" i="4"/>
  <c r="F56" i="4"/>
  <c r="N56" i="4"/>
  <c r="G56" i="4"/>
  <c r="I56" i="4"/>
  <c r="D48" i="4"/>
  <c r="L48" i="4"/>
  <c r="E48" i="4"/>
  <c r="M48" i="4"/>
  <c r="F48" i="4"/>
  <c r="N48" i="4"/>
  <c r="G48" i="4"/>
  <c r="I48" i="4"/>
  <c r="D40" i="4"/>
  <c r="L40" i="4"/>
  <c r="E40" i="4"/>
  <c r="M40" i="4"/>
  <c r="F40" i="4"/>
  <c r="N40" i="4"/>
  <c r="G40" i="4"/>
  <c r="I40" i="4"/>
  <c r="D32" i="4"/>
  <c r="L32" i="4"/>
  <c r="E32" i="4"/>
  <c r="M32" i="4"/>
  <c r="F32" i="4"/>
  <c r="N32" i="4"/>
  <c r="G32" i="4"/>
  <c r="I32" i="4"/>
  <c r="D24" i="4"/>
  <c r="L24" i="4"/>
  <c r="E24" i="4"/>
  <c r="M24" i="4"/>
  <c r="F24" i="4"/>
  <c r="N24" i="4"/>
  <c r="G24" i="4"/>
  <c r="I24" i="4"/>
  <c r="D16" i="4"/>
  <c r="L16" i="4"/>
  <c r="E16" i="4"/>
  <c r="M16" i="4"/>
  <c r="F16" i="4"/>
  <c r="N16" i="4"/>
  <c r="G16" i="4"/>
  <c r="I16" i="4"/>
  <c r="D8" i="4"/>
  <c r="L8" i="4"/>
  <c r="E8" i="4"/>
  <c r="M8" i="4"/>
  <c r="F8" i="4"/>
  <c r="N8" i="4"/>
  <c r="G8" i="4"/>
  <c r="I8" i="4"/>
  <c r="L82" i="4"/>
  <c r="M79" i="4"/>
  <c r="N76" i="4"/>
  <c r="L74" i="4"/>
  <c r="M71" i="4"/>
  <c r="N68" i="4"/>
  <c r="L66" i="4"/>
  <c r="H64" i="4"/>
  <c r="H62" i="4"/>
  <c r="G60" i="4"/>
  <c r="J58" i="4"/>
  <c r="J56" i="4"/>
  <c r="I54" i="4"/>
  <c r="L52" i="4"/>
  <c r="L50" i="4"/>
  <c r="K48" i="4"/>
  <c r="N46" i="4"/>
  <c r="N44" i="4"/>
  <c r="M42" i="4"/>
  <c r="E41" i="4"/>
  <c r="E39" i="4"/>
  <c r="D37" i="4"/>
  <c r="G35" i="4"/>
  <c r="G33" i="4"/>
  <c r="F31" i="4"/>
  <c r="I29" i="4"/>
  <c r="I27" i="4"/>
  <c r="H25" i="4"/>
  <c r="K23" i="4"/>
  <c r="K21" i="4"/>
  <c r="J19" i="4"/>
  <c r="M17" i="4"/>
  <c r="M15" i="4"/>
  <c r="L13" i="4"/>
  <c r="D12" i="4"/>
  <c r="D10" i="4"/>
  <c r="N7" i="4"/>
  <c r="L5" i="4"/>
  <c r="F345" i="2"/>
  <c r="F313" i="2"/>
  <c r="F281" i="2"/>
  <c r="F249" i="2"/>
  <c r="F217" i="2"/>
  <c r="F185" i="2"/>
  <c r="J365" i="2"/>
  <c r="H362" i="2"/>
  <c r="M356" i="2"/>
  <c r="K353" i="2"/>
  <c r="J348" i="2"/>
  <c r="H340" i="2"/>
  <c r="N329" i="2"/>
  <c r="N318" i="2"/>
  <c r="L298" i="2"/>
  <c r="L282" i="2"/>
  <c r="K266" i="2"/>
  <c r="L238" i="2"/>
  <c r="I123" i="2"/>
  <c r="M523" i="2"/>
  <c r="L516" i="2"/>
  <c r="H467" i="2"/>
  <c r="I451" i="2"/>
  <c r="G444" i="2"/>
  <c r="M364" i="2"/>
  <c r="I308" i="2"/>
  <c r="F337" i="2"/>
  <c r="F305" i="2"/>
  <c r="F273" i="2"/>
  <c r="F241" i="2"/>
  <c r="L364" i="2"/>
  <c r="J361" i="2"/>
  <c r="O355" i="2"/>
  <c r="M352" i="2"/>
  <c r="L346" i="2"/>
  <c r="O337" i="2"/>
  <c r="H325" i="2"/>
  <c r="J316" i="2"/>
  <c r="H308" i="2"/>
  <c r="H292" i="2"/>
  <c r="H276" i="2"/>
  <c r="N257" i="2"/>
  <c r="N225" i="2"/>
  <c r="G3" i="2"/>
  <c r="K518" i="2"/>
  <c r="G516" i="2"/>
  <c r="F498" i="2"/>
  <c r="P487" i="2"/>
  <c r="P463" i="2"/>
  <c r="F462" i="2"/>
  <c r="M405" i="2"/>
  <c r="I292" i="2"/>
  <c r="F362" i="2"/>
  <c r="F330" i="2"/>
  <c r="F298" i="2"/>
  <c r="F266" i="2"/>
  <c r="F170" i="2"/>
  <c r="F106" i="2"/>
  <c r="O363" i="2"/>
  <c r="M360" i="2"/>
  <c r="N355" i="2"/>
  <c r="L352" i="2"/>
  <c r="J344" i="2"/>
  <c r="G325" i="2"/>
  <c r="M314" i="2"/>
  <c r="G305" i="2"/>
  <c r="G289" i="2"/>
  <c r="G273" i="2"/>
  <c r="I257" i="2"/>
  <c r="I225" i="2"/>
  <c r="P165" i="2"/>
  <c r="M522" i="2"/>
  <c r="I476" i="2"/>
  <c r="O463" i="2"/>
  <c r="I443" i="2"/>
  <c r="I429" i="2"/>
  <c r="O416" i="2"/>
  <c r="I276" i="2"/>
  <c r="F361" i="2"/>
  <c r="F329" i="2"/>
  <c r="F297" i="2"/>
  <c r="F265" i="2"/>
  <c r="F233" i="2"/>
  <c r="F201" i="2"/>
  <c r="F169" i="2"/>
  <c r="F105" i="2"/>
  <c r="F73" i="2"/>
  <c r="N363" i="2"/>
  <c r="L360" i="2"/>
  <c r="G355" i="2"/>
  <c r="I350" i="2"/>
  <c r="O333" i="2"/>
  <c r="J323" i="2"/>
  <c r="L314" i="2"/>
  <c r="J251" i="2"/>
  <c r="H217" i="2"/>
  <c r="F487" i="2"/>
  <c r="N463" i="2"/>
  <c r="I425" i="2"/>
  <c r="K399" i="2"/>
  <c r="F354" i="2"/>
  <c r="F322" i="2"/>
  <c r="F290" i="2"/>
  <c r="F258" i="2"/>
  <c r="F226" i="2"/>
  <c r="F2" i="2"/>
  <c r="G363" i="2"/>
  <c r="I358" i="2"/>
  <c r="P354" i="2"/>
  <c r="K349" i="2"/>
  <c r="L342" i="2"/>
  <c r="N333" i="2"/>
  <c r="N322" i="2"/>
  <c r="J312" i="2"/>
  <c r="O301" i="2"/>
  <c r="O285" i="2"/>
  <c r="O269" i="2"/>
  <c r="O250" i="2"/>
  <c r="N509" i="2"/>
  <c r="I483" i="2"/>
  <c r="P479" i="2"/>
  <c r="P475" i="2"/>
  <c r="H472" i="2"/>
  <c r="H468" i="2"/>
  <c r="M463" i="2"/>
  <c r="O458" i="2"/>
  <c r="I445" i="2"/>
  <c r="I432" i="2"/>
  <c r="K419" i="2"/>
  <c r="P378" i="2"/>
  <c r="L356" i="2"/>
  <c r="F353" i="2"/>
  <c r="F321" i="2"/>
  <c r="F289" i="2"/>
  <c r="F193" i="2"/>
  <c r="F161" i="2"/>
  <c r="N2" i="2"/>
  <c r="P362" i="2"/>
  <c r="K357" i="2"/>
  <c r="I354" i="2"/>
  <c r="J349" i="2"/>
  <c r="L331" i="2"/>
  <c r="G321" i="2"/>
  <c r="P244" i="2"/>
  <c r="K208" i="2"/>
  <c r="F483" i="2"/>
  <c r="H463" i="2"/>
  <c r="H458" i="2"/>
  <c r="H402" i="2"/>
  <c r="P398" i="2"/>
  <c r="H394" i="2"/>
  <c r="O378" i="2"/>
  <c r="P316" i="2"/>
  <c r="F346" i="2"/>
  <c r="F314" i="2"/>
  <c r="F282" i="2"/>
  <c r="F218" i="2"/>
  <c r="K365" i="2"/>
  <c r="I362" i="2"/>
  <c r="J357" i="2"/>
  <c r="H354" i="2"/>
  <c r="L348" i="2"/>
  <c r="I340" i="2"/>
  <c r="K331" i="2"/>
  <c r="J123" i="2"/>
  <c r="F475" i="2"/>
  <c r="O467" i="2"/>
  <c r="N451" i="2"/>
  <c r="M319" i="2"/>
  <c r="N319" i="2"/>
  <c r="G319" i="2"/>
  <c r="O319" i="2"/>
  <c r="H319" i="2"/>
  <c r="P319" i="2"/>
  <c r="I319" i="2"/>
  <c r="M271" i="2"/>
  <c r="N271" i="2"/>
  <c r="G271" i="2"/>
  <c r="O271" i="2"/>
  <c r="H271" i="2"/>
  <c r="P271" i="2"/>
  <c r="I271" i="2"/>
  <c r="L271" i="2"/>
  <c r="N239" i="2"/>
  <c r="G239" i="2"/>
  <c r="O239" i="2"/>
  <c r="H239" i="2"/>
  <c r="P239" i="2"/>
  <c r="I239" i="2"/>
  <c r="J239" i="2"/>
  <c r="K239" i="2"/>
  <c r="L239" i="2"/>
  <c r="N199" i="2"/>
  <c r="G199" i="2"/>
  <c r="O199" i="2"/>
  <c r="H199" i="2"/>
  <c r="P199" i="2"/>
  <c r="I199" i="2"/>
  <c r="J199" i="2"/>
  <c r="K199" i="2"/>
  <c r="L199" i="2"/>
  <c r="N159" i="2"/>
  <c r="G159" i="2"/>
  <c r="O159" i="2"/>
  <c r="H159" i="2"/>
  <c r="P159" i="2"/>
  <c r="I159" i="2"/>
  <c r="J159" i="2"/>
  <c r="M159" i="2"/>
  <c r="M119" i="2"/>
  <c r="N119" i="2"/>
  <c r="G119" i="2"/>
  <c r="O119" i="2"/>
  <c r="H119" i="2"/>
  <c r="P119" i="2"/>
  <c r="L119" i="2"/>
  <c r="K119" i="2"/>
  <c r="J119" i="2"/>
  <c r="I119" i="2"/>
  <c r="M79" i="2"/>
  <c r="N79" i="2"/>
  <c r="G79" i="2"/>
  <c r="O79" i="2"/>
  <c r="H79" i="2"/>
  <c r="P79" i="2"/>
  <c r="I79" i="2"/>
  <c r="J79" i="2"/>
  <c r="K79" i="2"/>
  <c r="L79" i="2"/>
  <c r="I7" i="2"/>
  <c r="J7" i="2"/>
  <c r="K7" i="2"/>
  <c r="L7" i="2"/>
  <c r="M7" i="2"/>
  <c r="N7" i="2"/>
  <c r="H7" i="2"/>
  <c r="P7" i="2"/>
  <c r="G7" i="2"/>
  <c r="O7" i="2"/>
  <c r="K295" i="2"/>
  <c r="G310" i="2"/>
  <c r="O310" i="2"/>
  <c r="H310" i="2"/>
  <c r="P310" i="2"/>
  <c r="I310" i="2"/>
  <c r="J310" i="2"/>
  <c r="K310" i="2"/>
  <c r="H262" i="2"/>
  <c r="P262" i="2"/>
  <c r="K262" i="2"/>
  <c r="G262" i="2"/>
  <c r="I262" i="2"/>
  <c r="J262" i="2"/>
  <c r="L262" i="2"/>
  <c r="M262" i="2"/>
  <c r="H214" i="2"/>
  <c r="P214" i="2"/>
  <c r="I214" i="2"/>
  <c r="J214" i="2"/>
  <c r="K214" i="2"/>
  <c r="L214" i="2"/>
  <c r="G214" i="2"/>
  <c r="M214" i="2"/>
  <c r="G150" i="2"/>
  <c r="O150" i="2"/>
  <c r="H150" i="2"/>
  <c r="P150" i="2"/>
  <c r="I150" i="2"/>
  <c r="J150" i="2"/>
  <c r="N150" i="2"/>
  <c r="K150" i="2"/>
  <c r="L150" i="2"/>
  <c r="M150" i="2"/>
  <c r="G118" i="2"/>
  <c r="O118" i="2"/>
  <c r="H118" i="2"/>
  <c r="P118" i="2"/>
  <c r="I118" i="2"/>
  <c r="J118" i="2"/>
  <c r="N118" i="2"/>
  <c r="K118" i="2"/>
  <c r="L118" i="2"/>
  <c r="M118" i="2"/>
  <c r="G94" i="2"/>
  <c r="O94" i="2"/>
  <c r="H94" i="2"/>
  <c r="P94" i="2"/>
  <c r="I94" i="2"/>
  <c r="J94" i="2"/>
  <c r="K94" i="2"/>
  <c r="L94" i="2"/>
  <c r="M94" i="2"/>
  <c r="N94" i="2"/>
  <c r="G54" i="2"/>
  <c r="O54" i="2"/>
  <c r="H54" i="2"/>
  <c r="P54" i="2"/>
  <c r="I54" i="2"/>
  <c r="J54" i="2"/>
  <c r="K54" i="2"/>
  <c r="L54" i="2"/>
  <c r="N54" i="2"/>
  <c r="M54" i="2"/>
  <c r="K14" i="2"/>
  <c r="L14" i="2"/>
  <c r="M14" i="2"/>
  <c r="N14" i="2"/>
  <c r="G14" i="2"/>
  <c r="O14" i="2"/>
  <c r="H14" i="2"/>
  <c r="P14" i="2"/>
  <c r="J14" i="2"/>
  <c r="I14" i="2"/>
  <c r="G2" i="2"/>
  <c r="P358" i="2"/>
  <c r="H350" i="2"/>
  <c r="J327" i="2"/>
  <c r="K191" i="2"/>
  <c r="K344" i="2"/>
  <c r="L344" i="2"/>
  <c r="M344" i="2"/>
  <c r="N344" i="2"/>
  <c r="G344" i="2"/>
  <c r="O344" i="2"/>
  <c r="K336" i="2"/>
  <c r="L336" i="2"/>
  <c r="M336" i="2"/>
  <c r="N336" i="2"/>
  <c r="G336" i="2"/>
  <c r="O336" i="2"/>
  <c r="K328" i="2"/>
  <c r="L328" i="2"/>
  <c r="M328" i="2"/>
  <c r="N328" i="2"/>
  <c r="G328" i="2"/>
  <c r="O328" i="2"/>
  <c r="K320" i="2"/>
  <c r="L320" i="2"/>
  <c r="M320" i="2"/>
  <c r="N320" i="2"/>
  <c r="G320" i="2"/>
  <c r="O320" i="2"/>
  <c r="K312" i="2"/>
  <c r="L312" i="2"/>
  <c r="M312" i="2"/>
  <c r="N312" i="2"/>
  <c r="G312" i="2"/>
  <c r="O312" i="2"/>
  <c r="K304" i="2"/>
  <c r="L304" i="2"/>
  <c r="M304" i="2"/>
  <c r="N304" i="2"/>
  <c r="G304" i="2"/>
  <c r="O304" i="2"/>
  <c r="J304" i="2"/>
  <c r="K296" i="2"/>
  <c r="L296" i="2"/>
  <c r="M296" i="2"/>
  <c r="N296" i="2"/>
  <c r="G296" i="2"/>
  <c r="O296" i="2"/>
  <c r="J296" i="2"/>
  <c r="K288" i="2"/>
  <c r="L288" i="2"/>
  <c r="M288" i="2"/>
  <c r="N288" i="2"/>
  <c r="G288" i="2"/>
  <c r="O288" i="2"/>
  <c r="J288" i="2"/>
  <c r="K280" i="2"/>
  <c r="L280" i="2"/>
  <c r="M280" i="2"/>
  <c r="N280" i="2"/>
  <c r="G280" i="2"/>
  <c r="O280" i="2"/>
  <c r="J280" i="2"/>
  <c r="K272" i="2"/>
  <c r="L272" i="2"/>
  <c r="M272" i="2"/>
  <c r="N272" i="2"/>
  <c r="G272" i="2"/>
  <c r="O272" i="2"/>
  <c r="J272" i="2"/>
  <c r="L264" i="2"/>
  <c r="G264" i="2"/>
  <c r="P264" i="2"/>
  <c r="H264" i="2"/>
  <c r="I264" i="2"/>
  <c r="J264" i="2"/>
  <c r="K264" i="2"/>
  <c r="O264" i="2"/>
  <c r="L256" i="2"/>
  <c r="M256" i="2"/>
  <c r="N256" i="2"/>
  <c r="G256" i="2"/>
  <c r="O256" i="2"/>
  <c r="J256" i="2"/>
  <c r="K256" i="2"/>
  <c r="P256" i="2"/>
  <c r="I256" i="2"/>
  <c r="L248" i="2"/>
  <c r="M248" i="2"/>
  <c r="N248" i="2"/>
  <c r="G248" i="2"/>
  <c r="O248" i="2"/>
  <c r="J248" i="2"/>
  <c r="K248" i="2"/>
  <c r="P248" i="2"/>
  <c r="I248" i="2"/>
  <c r="L240" i="2"/>
  <c r="M240" i="2"/>
  <c r="N240" i="2"/>
  <c r="G240" i="2"/>
  <c r="O240" i="2"/>
  <c r="J240" i="2"/>
  <c r="K240" i="2"/>
  <c r="P240" i="2"/>
  <c r="I240" i="2"/>
  <c r="L232" i="2"/>
  <c r="M232" i="2"/>
  <c r="N232" i="2"/>
  <c r="G232" i="2"/>
  <c r="O232" i="2"/>
  <c r="J232" i="2"/>
  <c r="K232" i="2"/>
  <c r="P232" i="2"/>
  <c r="I232" i="2"/>
  <c r="L224" i="2"/>
  <c r="M224" i="2"/>
  <c r="N224" i="2"/>
  <c r="G224" i="2"/>
  <c r="O224" i="2"/>
  <c r="H224" i="2"/>
  <c r="P224" i="2"/>
  <c r="I224" i="2"/>
  <c r="J224" i="2"/>
  <c r="K224" i="2"/>
  <c r="L216" i="2"/>
  <c r="M216" i="2"/>
  <c r="N216" i="2"/>
  <c r="G216" i="2"/>
  <c r="O216" i="2"/>
  <c r="H216" i="2"/>
  <c r="P216" i="2"/>
  <c r="I216" i="2"/>
  <c r="J216" i="2"/>
  <c r="K216" i="2"/>
  <c r="L208" i="2"/>
  <c r="M208" i="2"/>
  <c r="N208" i="2"/>
  <c r="G208" i="2"/>
  <c r="O208" i="2"/>
  <c r="H208" i="2"/>
  <c r="P208" i="2"/>
  <c r="I208" i="2"/>
  <c r="L200" i="2"/>
  <c r="M200" i="2"/>
  <c r="N200" i="2"/>
  <c r="G200" i="2"/>
  <c r="O200" i="2"/>
  <c r="H200" i="2"/>
  <c r="P200" i="2"/>
  <c r="K200" i="2"/>
  <c r="J200" i="2"/>
  <c r="L192" i="2"/>
  <c r="M192" i="2"/>
  <c r="N192" i="2"/>
  <c r="G192" i="2"/>
  <c r="O192" i="2"/>
  <c r="H192" i="2"/>
  <c r="P192" i="2"/>
  <c r="I192" i="2"/>
  <c r="J192" i="2"/>
  <c r="K192" i="2"/>
  <c r="L184" i="2"/>
  <c r="M184" i="2"/>
  <c r="N184" i="2"/>
  <c r="G184" i="2"/>
  <c r="O184" i="2"/>
  <c r="H184" i="2"/>
  <c r="P184" i="2"/>
  <c r="I184" i="2"/>
  <c r="J184" i="2"/>
  <c r="K184" i="2"/>
  <c r="L176" i="2"/>
  <c r="M176" i="2"/>
  <c r="N176" i="2"/>
  <c r="G176" i="2"/>
  <c r="O176" i="2"/>
  <c r="H176" i="2"/>
  <c r="P176" i="2"/>
  <c r="I176" i="2"/>
  <c r="L168" i="2"/>
  <c r="M168" i="2"/>
  <c r="N168" i="2"/>
  <c r="G168" i="2"/>
  <c r="O168" i="2"/>
  <c r="H168" i="2"/>
  <c r="P168" i="2"/>
  <c r="K168" i="2"/>
  <c r="J168" i="2"/>
  <c r="L160" i="2"/>
  <c r="M160" i="2"/>
  <c r="N160" i="2"/>
  <c r="G160" i="2"/>
  <c r="O160" i="2"/>
  <c r="H160" i="2"/>
  <c r="P160" i="2"/>
  <c r="I160" i="2"/>
  <c r="J160" i="2"/>
  <c r="K160" i="2"/>
  <c r="K152" i="2"/>
  <c r="L152" i="2"/>
  <c r="M152" i="2"/>
  <c r="N152" i="2"/>
  <c r="J152" i="2"/>
  <c r="G152" i="2"/>
  <c r="H152" i="2"/>
  <c r="I152" i="2"/>
  <c r="O152" i="2"/>
  <c r="P152" i="2"/>
  <c r="K144" i="2"/>
  <c r="L144" i="2"/>
  <c r="M144" i="2"/>
  <c r="N144" i="2"/>
  <c r="J144" i="2"/>
  <c r="G144" i="2"/>
  <c r="H144" i="2"/>
  <c r="P144" i="2"/>
  <c r="I144" i="2"/>
  <c r="O144" i="2"/>
  <c r="K136" i="2"/>
  <c r="L136" i="2"/>
  <c r="M136" i="2"/>
  <c r="N136" i="2"/>
  <c r="J136" i="2"/>
  <c r="O136" i="2"/>
  <c r="P136" i="2"/>
  <c r="I136" i="2"/>
  <c r="G136" i="2"/>
  <c r="H136" i="2"/>
  <c r="K128" i="2"/>
  <c r="L128" i="2"/>
  <c r="M128" i="2"/>
  <c r="N128" i="2"/>
  <c r="J128" i="2"/>
  <c r="H128" i="2"/>
  <c r="I128" i="2"/>
  <c r="O128" i="2"/>
  <c r="P128" i="2"/>
  <c r="G128" i="2"/>
  <c r="K120" i="2"/>
  <c r="L120" i="2"/>
  <c r="M120" i="2"/>
  <c r="N120" i="2"/>
  <c r="J120" i="2"/>
  <c r="G120" i="2"/>
  <c r="H120" i="2"/>
  <c r="I120" i="2"/>
  <c r="O120" i="2"/>
  <c r="P120" i="2"/>
  <c r="K112" i="2"/>
  <c r="L112" i="2"/>
  <c r="M112" i="2"/>
  <c r="N112" i="2"/>
  <c r="J112" i="2"/>
  <c r="G112" i="2"/>
  <c r="H112" i="2"/>
  <c r="P112" i="2"/>
  <c r="I112" i="2"/>
  <c r="O112" i="2"/>
  <c r="K104" i="2"/>
  <c r="L104" i="2"/>
  <c r="M104" i="2"/>
  <c r="N104" i="2"/>
  <c r="G104" i="2"/>
  <c r="O104" i="2"/>
  <c r="H104" i="2"/>
  <c r="P104" i="2"/>
  <c r="I104" i="2"/>
  <c r="J104" i="2"/>
  <c r="K96" i="2"/>
  <c r="L96" i="2"/>
  <c r="M96" i="2"/>
  <c r="N96" i="2"/>
  <c r="G96" i="2"/>
  <c r="O96" i="2"/>
  <c r="H96" i="2"/>
  <c r="P96" i="2"/>
  <c r="J96" i="2"/>
  <c r="I96" i="2"/>
  <c r="K88" i="2"/>
  <c r="L88" i="2"/>
  <c r="M88" i="2"/>
  <c r="N88" i="2"/>
  <c r="G88" i="2"/>
  <c r="O88" i="2"/>
  <c r="H88" i="2"/>
  <c r="P88" i="2"/>
  <c r="I88" i="2"/>
  <c r="J88" i="2"/>
  <c r="K80" i="2"/>
  <c r="L80" i="2"/>
  <c r="M80" i="2"/>
  <c r="N80" i="2"/>
  <c r="G80" i="2"/>
  <c r="O80" i="2"/>
  <c r="H80" i="2"/>
  <c r="P80" i="2"/>
  <c r="J80" i="2"/>
  <c r="I80" i="2"/>
  <c r="K72" i="2"/>
  <c r="L72" i="2"/>
  <c r="M72" i="2"/>
  <c r="N72" i="2"/>
  <c r="G72" i="2"/>
  <c r="O72" i="2"/>
  <c r="H72" i="2"/>
  <c r="P72" i="2"/>
  <c r="I72" i="2"/>
  <c r="J72" i="2"/>
  <c r="K64" i="2"/>
  <c r="L64" i="2"/>
  <c r="M64" i="2"/>
  <c r="N64" i="2"/>
  <c r="G64" i="2"/>
  <c r="O64" i="2"/>
  <c r="H64" i="2"/>
  <c r="P64" i="2"/>
  <c r="J64" i="2"/>
  <c r="I64" i="2"/>
  <c r="K56" i="2"/>
  <c r="L56" i="2"/>
  <c r="M56" i="2"/>
  <c r="N56" i="2"/>
  <c r="G56" i="2"/>
  <c r="O56" i="2"/>
  <c r="H56" i="2"/>
  <c r="P56" i="2"/>
  <c r="I56" i="2"/>
  <c r="J56" i="2"/>
  <c r="K48" i="2"/>
  <c r="L48" i="2"/>
  <c r="M48" i="2"/>
  <c r="N48" i="2"/>
  <c r="G48" i="2"/>
  <c r="O48" i="2"/>
  <c r="H48" i="2"/>
  <c r="P48" i="2"/>
  <c r="J48" i="2"/>
  <c r="I48" i="2"/>
  <c r="G40" i="2"/>
  <c r="O40" i="2"/>
  <c r="H40" i="2"/>
  <c r="P40" i="2"/>
  <c r="I40" i="2"/>
  <c r="J40" i="2"/>
  <c r="K40" i="2"/>
  <c r="L40" i="2"/>
  <c r="N40" i="2"/>
  <c r="M40" i="2"/>
  <c r="G32" i="2"/>
  <c r="O32" i="2"/>
  <c r="H32" i="2"/>
  <c r="P32" i="2"/>
  <c r="I32" i="2"/>
  <c r="J32" i="2"/>
  <c r="K32" i="2"/>
  <c r="L32" i="2"/>
  <c r="N32" i="2"/>
  <c r="M32" i="2"/>
  <c r="G24" i="2"/>
  <c r="O24" i="2"/>
  <c r="H24" i="2"/>
  <c r="P24" i="2"/>
  <c r="I24" i="2"/>
  <c r="J24" i="2"/>
  <c r="K24" i="2"/>
  <c r="L24" i="2"/>
  <c r="N24" i="2"/>
  <c r="M24" i="2"/>
  <c r="G16" i="2"/>
  <c r="O16" i="2"/>
  <c r="H16" i="2"/>
  <c r="P16" i="2"/>
  <c r="I16" i="2"/>
  <c r="J16" i="2"/>
  <c r="K16" i="2"/>
  <c r="L16" i="2"/>
  <c r="N16" i="2"/>
  <c r="M16" i="2"/>
  <c r="G8" i="2"/>
  <c r="O8" i="2"/>
  <c r="H8" i="2"/>
  <c r="P8" i="2"/>
  <c r="I8" i="2"/>
  <c r="J8" i="2"/>
  <c r="K8" i="2"/>
  <c r="L8" i="2"/>
  <c r="N8" i="2"/>
  <c r="F363" i="2"/>
  <c r="F355" i="2"/>
  <c r="F339" i="2"/>
  <c r="F331" i="2"/>
  <c r="F323" i="2"/>
  <c r="F307" i="2"/>
  <c r="F299" i="2"/>
  <c r="F291" i="2"/>
  <c r="F283" i="2"/>
  <c r="F275" i="2"/>
  <c r="F267" i="2"/>
  <c r="F243" i="2"/>
  <c r="F163" i="2"/>
  <c r="F131" i="2"/>
  <c r="M2" i="2"/>
  <c r="L365" i="2"/>
  <c r="N364" i="2"/>
  <c r="P363" i="2"/>
  <c r="H363" i="2"/>
  <c r="J362" i="2"/>
  <c r="L361" i="2"/>
  <c r="N360" i="2"/>
  <c r="P359" i="2"/>
  <c r="H359" i="2"/>
  <c r="J358" i="2"/>
  <c r="L357" i="2"/>
  <c r="N356" i="2"/>
  <c r="P355" i="2"/>
  <c r="H355" i="2"/>
  <c r="J354" i="2"/>
  <c r="L353" i="2"/>
  <c r="N352" i="2"/>
  <c r="P351" i="2"/>
  <c r="H351" i="2"/>
  <c r="J350" i="2"/>
  <c r="L349" i="2"/>
  <c r="M348" i="2"/>
  <c r="P344" i="2"/>
  <c r="M342" i="2"/>
  <c r="I336" i="2"/>
  <c r="O329" i="2"/>
  <c r="L327" i="2"/>
  <c r="H321" i="2"/>
  <c r="J319" i="2"/>
  <c r="P312" i="2"/>
  <c r="M310" i="2"/>
  <c r="L302" i="2"/>
  <c r="H296" i="2"/>
  <c r="H280" i="2"/>
  <c r="M263" i="2"/>
  <c r="G246" i="2"/>
  <c r="M239" i="2"/>
  <c r="J176" i="2"/>
  <c r="M167" i="2"/>
  <c r="K159" i="2"/>
  <c r="M303" i="2"/>
  <c r="N303" i="2"/>
  <c r="G303" i="2"/>
  <c r="O303" i="2"/>
  <c r="H303" i="2"/>
  <c r="P303" i="2"/>
  <c r="I303" i="2"/>
  <c r="L303" i="2"/>
  <c r="N247" i="2"/>
  <c r="G247" i="2"/>
  <c r="O247" i="2"/>
  <c r="H247" i="2"/>
  <c r="P247" i="2"/>
  <c r="I247" i="2"/>
  <c r="J247" i="2"/>
  <c r="K247" i="2"/>
  <c r="L247" i="2"/>
  <c r="N175" i="2"/>
  <c r="G175" i="2"/>
  <c r="O175" i="2"/>
  <c r="H175" i="2"/>
  <c r="P175" i="2"/>
  <c r="I175" i="2"/>
  <c r="J175" i="2"/>
  <c r="K175" i="2"/>
  <c r="L175" i="2"/>
  <c r="M175" i="2"/>
  <c r="M111" i="2"/>
  <c r="N111" i="2"/>
  <c r="G111" i="2"/>
  <c r="O111" i="2"/>
  <c r="H111" i="2"/>
  <c r="P111" i="2"/>
  <c r="L111" i="2"/>
  <c r="I111" i="2"/>
  <c r="J111" i="2"/>
  <c r="K111" i="2"/>
  <c r="M71" i="2"/>
  <c r="N71" i="2"/>
  <c r="G71" i="2"/>
  <c r="O71" i="2"/>
  <c r="H71" i="2"/>
  <c r="P71" i="2"/>
  <c r="I71" i="2"/>
  <c r="J71" i="2"/>
  <c r="K71" i="2"/>
  <c r="L71" i="2"/>
  <c r="I23" i="2"/>
  <c r="J23" i="2"/>
  <c r="K23" i="2"/>
  <c r="L23" i="2"/>
  <c r="M23" i="2"/>
  <c r="N23" i="2"/>
  <c r="H23" i="2"/>
  <c r="P23" i="2"/>
  <c r="G23" i="2"/>
  <c r="O23" i="2"/>
  <c r="G326" i="2"/>
  <c r="O326" i="2"/>
  <c r="H326" i="2"/>
  <c r="P326" i="2"/>
  <c r="I326" i="2"/>
  <c r="J326" i="2"/>
  <c r="K326" i="2"/>
  <c r="G270" i="2"/>
  <c r="O270" i="2"/>
  <c r="H270" i="2"/>
  <c r="P270" i="2"/>
  <c r="I270" i="2"/>
  <c r="J270" i="2"/>
  <c r="K270" i="2"/>
  <c r="N270" i="2"/>
  <c r="H222" i="2"/>
  <c r="P222" i="2"/>
  <c r="I222" i="2"/>
  <c r="J222" i="2"/>
  <c r="K222" i="2"/>
  <c r="L222" i="2"/>
  <c r="G222" i="2"/>
  <c r="M222" i="2"/>
  <c r="N222" i="2"/>
  <c r="O222" i="2"/>
  <c r="H190" i="2"/>
  <c r="P190" i="2"/>
  <c r="I190" i="2"/>
  <c r="J190" i="2"/>
  <c r="K190" i="2"/>
  <c r="L190" i="2"/>
  <c r="G190" i="2"/>
  <c r="M190" i="2"/>
  <c r="N190" i="2"/>
  <c r="O190" i="2"/>
  <c r="H174" i="2"/>
  <c r="P174" i="2"/>
  <c r="I174" i="2"/>
  <c r="J174" i="2"/>
  <c r="K174" i="2"/>
  <c r="L174" i="2"/>
  <c r="O174" i="2"/>
  <c r="N174" i="2"/>
  <c r="G126" i="2"/>
  <c r="O126" i="2"/>
  <c r="H126" i="2"/>
  <c r="P126" i="2"/>
  <c r="I126" i="2"/>
  <c r="J126" i="2"/>
  <c r="N126" i="2"/>
  <c r="K126" i="2"/>
  <c r="L126" i="2"/>
  <c r="M126" i="2"/>
  <c r="G78" i="2"/>
  <c r="O78" i="2"/>
  <c r="H78" i="2"/>
  <c r="P78" i="2"/>
  <c r="I78" i="2"/>
  <c r="J78" i="2"/>
  <c r="K78" i="2"/>
  <c r="L78" i="2"/>
  <c r="M78" i="2"/>
  <c r="N78" i="2"/>
  <c r="K22" i="2"/>
  <c r="L22" i="2"/>
  <c r="M22" i="2"/>
  <c r="N22" i="2"/>
  <c r="G22" i="2"/>
  <c r="O22" i="2"/>
  <c r="H22" i="2"/>
  <c r="P22" i="2"/>
  <c r="J22" i="2"/>
  <c r="I22" i="2"/>
  <c r="H358" i="2"/>
  <c r="M231" i="2"/>
  <c r="G174" i="2"/>
  <c r="I341" i="2"/>
  <c r="J341" i="2"/>
  <c r="K341" i="2"/>
  <c r="L341" i="2"/>
  <c r="M341" i="2"/>
  <c r="I333" i="2"/>
  <c r="J333" i="2"/>
  <c r="K333" i="2"/>
  <c r="L333" i="2"/>
  <c r="M333" i="2"/>
  <c r="I325" i="2"/>
  <c r="J325" i="2"/>
  <c r="K325" i="2"/>
  <c r="L325" i="2"/>
  <c r="M325" i="2"/>
  <c r="I317" i="2"/>
  <c r="J317" i="2"/>
  <c r="K317" i="2"/>
  <c r="L317" i="2"/>
  <c r="M317" i="2"/>
  <c r="I309" i="2"/>
  <c r="J309" i="2"/>
  <c r="K309" i="2"/>
  <c r="L309" i="2"/>
  <c r="M309" i="2"/>
  <c r="I301" i="2"/>
  <c r="J301" i="2"/>
  <c r="K301" i="2"/>
  <c r="L301" i="2"/>
  <c r="M301" i="2"/>
  <c r="H301" i="2"/>
  <c r="P301" i="2"/>
  <c r="I293" i="2"/>
  <c r="J293" i="2"/>
  <c r="K293" i="2"/>
  <c r="L293" i="2"/>
  <c r="M293" i="2"/>
  <c r="H293" i="2"/>
  <c r="P293" i="2"/>
  <c r="I285" i="2"/>
  <c r="J285" i="2"/>
  <c r="K285" i="2"/>
  <c r="L285" i="2"/>
  <c r="M285" i="2"/>
  <c r="H285" i="2"/>
  <c r="P285" i="2"/>
  <c r="I277" i="2"/>
  <c r="J277" i="2"/>
  <c r="K277" i="2"/>
  <c r="L277" i="2"/>
  <c r="M277" i="2"/>
  <c r="H277" i="2"/>
  <c r="P277" i="2"/>
  <c r="I269" i="2"/>
  <c r="J269" i="2"/>
  <c r="K269" i="2"/>
  <c r="L269" i="2"/>
  <c r="M269" i="2"/>
  <c r="H269" i="2"/>
  <c r="P269" i="2"/>
  <c r="J261" i="2"/>
  <c r="M261" i="2"/>
  <c r="G261" i="2"/>
  <c r="H261" i="2"/>
  <c r="I261" i="2"/>
  <c r="K261" i="2"/>
  <c r="L261" i="2"/>
  <c r="P261" i="2"/>
  <c r="J253" i="2"/>
  <c r="K253" i="2"/>
  <c r="L253" i="2"/>
  <c r="M253" i="2"/>
  <c r="H253" i="2"/>
  <c r="I253" i="2"/>
  <c r="N253" i="2"/>
  <c r="O253" i="2"/>
  <c r="P253" i="2"/>
  <c r="G253" i="2"/>
  <c r="J245" i="2"/>
  <c r="K245" i="2"/>
  <c r="L245" i="2"/>
  <c r="M245" i="2"/>
  <c r="H245" i="2"/>
  <c r="I245" i="2"/>
  <c r="N245" i="2"/>
  <c r="O245" i="2"/>
  <c r="P245" i="2"/>
  <c r="G245" i="2"/>
  <c r="J237" i="2"/>
  <c r="K237" i="2"/>
  <c r="L237" i="2"/>
  <c r="M237" i="2"/>
  <c r="H237" i="2"/>
  <c r="I237" i="2"/>
  <c r="N237" i="2"/>
  <c r="O237" i="2"/>
  <c r="P237" i="2"/>
  <c r="G237" i="2"/>
  <c r="J229" i="2"/>
  <c r="K229" i="2"/>
  <c r="L229" i="2"/>
  <c r="M229" i="2"/>
  <c r="H229" i="2"/>
  <c r="I229" i="2"/>
  <c r="N229" i="2"/>
  <c r="O229" i="2"/>
  <c r="P229" i="2"/>
  <c r="G229" i="2"/>
  <c r="J221" i="2"/>
  <c r="K221" i="2"/>
  <c r="L221" i="2"/>
  <c r="M221" i="2"/>
  <c r="N221" i="2"/>
  <c r="P221" i="2"/>
  <c r="G221" i="2"/>
  <c r="O221" i="2"/>
  <c r="J213" i="2"/>
  <c r="K213" i="2"/>
  <c r="L213" i="2"/>
  <c r="M213" i="2"/>
  <c r="N213" i="2"/>
  <c r="I213" i="2"/>
  <c r="O213" i="2"/>
  <c r="P213" i="2"/>
  <c r="H213" i="2"/>
  <c r="J205" i="2"/>
  <c r="K205" i="2"/>
  <c r="L205" i="2"/>
  <c r="M205" i="2"/>
  <c r="N205" i="2"/>
  <c r="G205" i="2"/>
  <c r="H205" i="2"/>
  <c r="I205" i="2"/>
  <c r="O205" i="2"/>
  <c r="P205" i="2"/>
  <c r="J197" i="2"/>
  <c r="K197" i="2"/>
  <c r="L197" i="2"/>
  <c r="M197" i="2"/>
  <c r="N197" i="2"/>
  <c r="G197" i="2"/>
  <c r="H197" i="2"/>
  <c r="I197" i="2"/>
  <c r="J189" i="2"/>
  <c r="K189" i="2"/>
  <c r="L189" i="2"/>
  <c r="M189" i="2"/>
  <c r="N189" i="2"/>
  <c r="P189" i="2"/>
  <c r="G189" i="2"/>
  <c r="O189" i="2"/>
  <c r="J181" i="2"/>
  <c r="K181" i="2"/>
  <c r="L181" i="2"/>
  <c r="M181" i="2"/>
  <c r="N181" i="2"/>
  <c r="I181" i="2"/>
  <c r="O181" i="2"/>
  <c r="P181" i="2"/>
  <c r="H181" i="2"/>
  <c r="J173" i="2"/>
  <c r="K173" i="2"/>
  <c r="L173" i="2"/>
  <c r="M173" i="2"/>
  <c r="N173" i="2"/>
  <c r="G173" i="2"/>
  <c r="H173" i="2"/>
  <c r="I173" i="2"/>
  <c r="O173" i="2"/>
  <c r="P173" i="2"/>
  <c r="J165" i="2"/>
  <c r="K165" i="2"/>
  <c r="L165" i="2"/>
  <c r="M165" i="2"/>
  <c r="N165" i="2"/>
  <c r="G165" i="2"/>
  <c r="H165" i="2"/>
  <c r="I165" i="2"/>
  <c r="J157" i="2"/>
  <c r="I157" i="2"/>
  <c r="K157" i="2"/>
  <c r="L157" i="2"/>
  <c r="M157" i="2"/>
  <c r="N157" i="2"/>
  <c r="H157" i="2"/>
  <c r="P157" i="2"/>
  <c r="O157" i="2"/>
  <c r="I149" i="2"/>
  <c r="J149" i="2"/>
  <c r="K149" i="2"/>
  <c r="L149" i="2"/>
  <c r="H149" i="2"/>
  <c r="P149" i="2"/>
  <c r="M149" i="2"/>
  <c r="N149" i="2"/>
  <c r="O149" i="2"/>
  <c r="G149" i="2"/>
  <c r="I141" i="2"/>
  <c r="J141" i="2"/>
  <c r="K141" i="2"/>
  <c r="L141" i="2"/>
  <c r="H141" i="2"/>
  <c r="P141" i="2"/>
  <c r="G141" i="2"/>
  <c r="M141" i="2"/>
  <c r="N141" i="2"/>
  <c r="O141" i="2"/>
  <c r="I133" i="2"/>
  <c r="J133" i="2"/>
  <c r="K133" i="2"/>
  <c r="L133" i="2"/>
  <c r="H133" i="2"/>
  <c r="P133" i="2"/>
  <c r="G133" i="2"/>
  <c r="M133" i="2"/>
  <c r="O133" i="2"/>
  <c r="N133" i="2"/>
  <c r="I125" i="2"/>
  <c r="J125" i="2"/>
  <c r="K125" i="2"/>
  <c r="L125" i="2"/>
  <c r="H125" i="2"/>
  <c r="P125" i="2"/>
  <c r="O125" i="2"/>
  <c r="N125" i="2"/>
  <c r="M125" i="2"/>
  <c r="G125" i="2"/>
  <c r="I117" i="2"/>
  <c r="J117" i="2"/>
  <c r="K117" i="2"/>
  <c r="L117" i="2"/>
  <c r="H117" i="2"/>
  <c r="P117" i="2"/>
  <c r="M117" i="2"/>
  <c r="N117" i="2"/>
  <c r="O117" i="2"/>
  <c r="G117" i="2"/>
  <c r="I109" i="2"/>
  <c r="J109" i="2"/>
  <c r="K109" i="2"/>
  <c r="L109" i="2"/>
  <c r="H109" i="2"/>
  <c r="P109" i="2"/>
  <c r="G109" i="2"/>
  <c r="M109" i="2"/>
  <c r="N109" i="2"/>
  <c r="O109" i="2"/>
  <c r="I101" i="2"/>
  <c r="J101" i="2"/>
  <c r="K101" i="2"/>
  <c r="L101" i="2"/>
  <c r="M101" i="2"/>
  <c r="N101" i="2"/>
  <c r="G101" i="2"/>
  <c r="H101" i="2"/>
  <c r="O101" i="2"/>
  <c r="P101" i="2"/>
  <c r="I93" i="2"/>
  <c r="J93" i="2"/>
  <c r="K93" i="2"/>
  <c r="L93" i="2"/>
  <c r="M93" i="2"/>
  <c r="N93" i="2"/>
  <c r="O93" i="2"/>
  <c r="P93" i="2"/>
  <c r="H93" i="2"/>
  <c r="G93" i="2"/>
  <c r="I85" i="2"/>
  <c r="J85" i="2"/>
  <c r="K85" i="2"/>
  <c r="L85" i="2"/>
  <c r="M85" i="2"/>
  <c r="N85" i="2"/>
  <c r="G85" i="2"/>
  <c r="H85" i="2"/>
  <c r="O85" i="2"/>
  <c r="P85" i="2"/>
  <c r="I77" i="2"/>
  <c r="J77" i="2"/>
  <c r="K77" i="2"/>
  <c r="L77" i="2"/>
  <c r="M77" i="2"/>
  <c r="N77" i="2"/>
  <c r="O77" i="2"/>
  <c r="P77" i="2"/>
  <c r="H77" i="2"/>
  <c r="G77" i="2"/>
  <c r="I69" i="2"/>
  <c r="J69" i="2"/>
  <c r="K69" i="2"/>
  <c r="L69" i="2"/>
  <c r="M69" i="2"/>
  <c r="N69" i="2"/>
  <c r="G69" i="2"/>
  <c r="H69" i="2"/>
  <c r="O69" i="2"/>
  <c r="P69" i="2"/>
  <c r="I61" i="2"/>
  <c r="J61" i="2"/>
  <c r="K61" i="2"/>
  <c r="L61" i="2"/>
  <c r="M61" i="2"/>
  <c r="N61" i="2"/>
  <c r="O61" i="2"/>
  <c r="P61" i="2"/>
  <c r="H61" i="2"/>
  <c r="G61" i="2"/>
  <c r="I53" i="2"/>
  <c r="J53" i="2"/>
  <c r="K53" i="2"/>
  <c r="L53" i="2"/>
  <c r="M53" i="2"/>
  <c r="N53" i="2"/>
  <c r="G53" i="2"/>
  <c r="H53" i="2"/>
  <c r="O53" i="2"/>
  <c r="P53" i="2"/>
  <c r="I45" i="2"/>
  <c r="J45" i="2"/>
  <c r="K45" i="2"/>
  <c r="L45" i="2"/>
  <c r="M45" i="2"/>
  <c r="N45" i="2"/>
  <c r="O45" i="2"/>
  <c r="P45" i="2"/>
  <c r="H45" i="2"/>
  <c r="G45" i="2"/>
  <c r="M37" i="2"/>
  <c r="N37" i="2"/>
  <c r="G37" i="2"/>
  <c r="O37" i="2"/>
  <c r="H37" i="2"/>
  <c r="P37" i="2"/>
  <c r="I37" i="2"/>
  <c r="J37" i="2"/>
  <c r="L37" i="2"/>
  <c r="K37" i="2"/>
  <c r="M29" i="2"/>
  <c r="N29" i="2"/>
  <c r="G29" i="2"/>
  <c r="O29" i="2"/>
  <c r="H29" i="2"/>
  <c r="P29" i="2"/>
  <c r="I29" i="2"/>
  <c r="J29" i="2"/>
  <c r="L29" i="2"/>
  <c r="K29" i="2"/>
  <c r="M21" i="2"/>
  <c r="N21" i="2"/>
  <c r="G21" i="2"/>
  <c r="O21" i="2"/>
  <c r="H21" i="2"/>
  <c r="P21" i="2"/>
  <c r="I21" i="2"/>
  <c r="J21" i="2"/>
  <c r="L21" i="2"/>
  <c r="K21" i="2"/>
  <c r="M13" i="2"/>
  <c r="N13" i="2"/>
  <c r="G13" i="2"/>
  <c r="O13" i="2"/>
  <c r="H13" i="2"/>
  <c r="P13" i="2"/>
  <c r="I13" i="2"/>
  <c r="J13" i="2"/>
  <c r="L13" i="2"/>
  <c r="K13" i="2"/>
  <c r="M5" i="2"/>
  <c r="N5" i="2"/>
  <c r="G5" i="2"/>
  <c r="O5" i="2"/>
  <c r="H5" i="2"/>
  <c r="P5" i="2"/>
  <c r="I5" i="2"/>
  <c r="J5" i="2"/>
  <c r="L5" i="2"/>
  <c r="K5" i="2"/>
  <c r="F360" i="2"/>
  <c r="F352" i="2"/>
  <c r="F344" i="2"/>
  <c r="F336" i="2"/>
  <c r="F328" i="2"/>
  <c r="F320" i="2"/>
  <c r="F312" i="2"/>
  <c r="F304" i="2"/>
  <c r="F296" i="2"/>
  <c r="F288" i="2"/>
  <c r="F280" i="2"/>
  <c r="F272" i="2"/>
  <c r="F264" i="2"/>
  <c r="F256" i="2"/>
  <c r="F248" i="2"/>
  <c r="F240" i="2"/>
  <c r="F232" i="2"/>
  <c r="F224" i="2"/>
  <c r="F216" i="2"/>
  <c r="F208" i="2"/>
  <c r="F200" i="2"/>
  <c r="F192" i="2"/>
  <c r="F184" i="2"/>
  <c r="F176" i="2"/>
  <c r="F168" i="2"/>
  <c r="F160" i="2"/>
  <c r="F152" i="2"/>
  <c r="F144" i="2"/>
  <c r="F136" i="2"/>
  <c r="F128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H2" i="2"/>
  <c r="P2" i="2"/>
  <c r="I365" i="2"/>
  <c r="K364" i="2"/>
  <c r="M363" i="2"/>
  <c r="O362" i="2"/>
  <c r="G362" i="2"/>
  <c r="I361" i="2"/>
  <c r="K360" i="2"/>
  <c r="M359" i="2"/>
  <c r="O358" i="2"/>
  <c r="G358" i="2"/>
  <c r="I357" i="2"/>
  <c r="K356" i="2"/>
  <c r="M355" i="2"/>
  <c r="O354" i="2"/>
  <c r="G354" i="2"/>
  <c r="I353" i="2"/>
  <c r="K352" i="2"/>
  <c r="M351" i="2"/>
  <c r="O350" i="2"/>
  <c r="G350" i="2"/>
  <c r="H349" i="2"/>
  <c r="P345" i="2"/>
  <c r="H344" i="2"/>
  <c r="O341" i="2"/>
  <c r="L339" i="2"/>
  <c r="N337" i="2"/>
  <c r="K335" i="2"/>
  <c r="H333" i="2"/>
  <c r="N326" i="2"/>
  <c r="M322" i="2"/>
  <c r="J320" i="2"/>
  <c r="P313" i="2"/>
  <c r="H312" i="2"/>
  <c r="O309" i="2"/>
  <c r="K307" i="2"/>
  <c r="I304" i="2"/>
  <c r="G301" i="2"/>
  <c r="O297" i="2"/>
  <c r="M294" i="2"/>
  <c r="K291" i="2"/>
  <c r="I288" i="2"/>
  <c r="G285" i="2"/>
  <c r="O281" i="2"/>
  <c r="K275" i="2"/>
  <c r="I272" i="2"/>
  <c r="G269" i="2"/>
  <c r="M265" i="2"/>
  <c r="O261" i="2"/>
  <c r="H256" i="2"/>
  <c r="N249" i="2"/>
  <c r="L223" i="2"/>
  <c r="O214" i="2"/>
  <c r="M206" i="2"/>
  <c r="P197" i="2"/>
  <c r="I189" i="2"/>
  <c r="G181" i="2"/>
  <c r="M163" i="2"/>
  <c r="M114" i="2"/>
  <c r="M343" i="2"/>
  <c r="N343" i="2"/>
  <c r="G343" i="2"/>
  <c r="O343" i="2"/>
  <c r="H343" i="2"/>
  <c r="P343" i="2"/>
  <c r="I343" i="2"/>
  <c r="M295" i="2"/>
  <c r="N295" i="2"/>
  <c r="G295" i="2"/>
  <c r="O295" i="2"/>
  <c r="H295" i="2"/>
  <c r="P295" i="2"/>
  <c r="I295" i="2"/>
  <c r="L295" i="2"/>
  <c r="N255" i="2"/>
  <c r="G255" i="2"/>
  <c r="O255" i="2"/>
  <c r="H255" i="2"/>
  <c r="P255" i="2"/>
  <c r="I255" i="2"/>
  <c r="J255" i="2"/>
  <c r="K255" i="2"/>
  <c r="L255" i="2"/>
  <c r="N207" i="2"/>
  <c r="G207" i="2"/>
  <c r="O207" i="2"/>
  <c r="H207" i="2"/>
  <c r="P207" i="2"/>
  <c r="I207" i="2"/>
  <c r="J207" i="2"/>
  <c r="K207" i="2"/>
  <c r="L207" i="2"/>
  <c r="M207" i="2"/>
  <c r="N183" i="2"/>
  <c r="G183" i="2"/>
  <c r="O183" i="2"/>
  <c r="H183" i="2"/>
  <c r="P183" i="2"/>
  <c r="I183" i="2"/>
  <c r="J183" i="2"/>
  <c r="L183" i="2"/>
  <c r="M183" i="2"/>
  <c r="K183" i="2"/>
  <c r="M151" i="2"/>
  <c r="N151" i="2"/>
  <c r="G151" i="2"/>
  <c r="O151" i="2"/>
  <c r="H151" i="2"/>
  <c r="P151" i="2"/>
  <c r="L151" i="2"/>
  <c r="K151" i="2"/>
  <c r="J151" i="2"/>
  <c r="I151" i="2"/>
  <c r="M87" i="2"/>
  <c r="N87" i="2"/>
  <c r="G87" i="2"/>
  <c r="O87" i="2"/>
  <c r="H87" i="2"/>
  <c r="P87" i="2"/>
  <c r="I87" i="2"/>
  <c r="J87" i="2"/>
  <c r="K87" i="2"/>
  <c r="L87" i="2"/>
  <c r="I15" i="2"/>
  <c r="J15" i="2"/>
  <c r="K15" i="2"/>
  <c r="L15" i="2"/>
  <c r="M15" i="2"/>
  <c r="N15" i="2"/>
  <c r="H15" i="2"/>
  <c r="P15" i="2"/>
  <c r="G15" i="2"/>
  <c r="O15" i="2"/>
  <c r="K327" i="2"/>
  <c r="K279" i="2"/>
  <c r="G318" i="2"/>
  <c r="O318" i="2"/>
  <c r="H318" i="2"/>
  <c r="P318" i="2"/>
  <c r="I318" i="2"/>
  <c r="J318" i="2"/>
  <c r="K318" i="2"/>
  <c r="G278" i="2"/>
  <c r="O278" i="2"/>
  <c r="H278" i="2"/>
  <c r="P278" i="2"/>
  <c r="I278" i="2"/>
  <c r="J278" i="2"/>
  <c r="K278" i="2"/>
  <c r="N278" i="2"/>
  <c r="H230" i="2"/>
  <c r="P230" i="2"/>
  <c r="I230" i="2"/>
  <c r="J230" i="2"/>
  <c r="K230" i="2"/>
  <c r="N230" i="2"/>
  <c r="O230" i="2"/>
  <c r="M230" i="2"/>
  <c r="H158" i="2"/>
  <c r="P158" i="2"/>
  <c r="I158" i="2"/>
  <c r="J158" i="2"/>
  <c r="K158" i="2"/>
  <c r="L158" i="2"/>
  <c r="G158" i="2"/>
  <c r="M158" i="2"/>
  <c r="N158" i="2"/>
  <c r="O158" i="2"/>
  <c r="G110" i="2"/>
  <c r="O110" i="2"/>
  <c r="H110" i="2"/>
  <c r="P110" i="2"/>
  <c r="I110" i="2"/>
  <c r="J110" i="2"/>
  <c r="N110" i="2"/>
  <c r="M110" i="2"/>
  <c r="K110" i="2"/>
  <c r="L110" i="2"/>
  <c r="K6" i="2"/>
  <c r="L6" i="2"/>
  <c r="M6" i="2"/>
  <c r="N6" i="2"/>
  <c r="G6" i="2"/>
  <c r="O6" i="2"/>
  <c r="H6" i="2"/>
  <c r="P6" i="2"/>
  <c r="J6" i="2"/>
  <c r="I6" i="2"/>
  <c r="L335" i="2"/>
  <c r="K348" i="2"/>
  <c r="G348" i="2"/>
  <c r="K340" i="2"/>
  <c r="L340" i="2"/>
  <c r="M340" i="2"/>
  <c r="N340" i="2"/>
  <c r="G340" i="2"/>
  <c r="O340" i="2"/>
  <c r="K332" i="2"/>
  <c r="L332" i="2"/>
  <c r="M332" i="2"/>
  <c r="N332" i="2"/>
  <c r="G332" i="2"/>
  <c r="O332" i="2"/>
  <c r="K324" i="2"/>
  <c r="L324" i="2"/>
  <c r="M324" i="2"/>
  <c r="N324" i="2"/>
  <c r="G324" i="2"/>
  <c r="O324" i="2"/>
  <c r="K316" i="2"/>
  <c r="L316" i="2"/>
  <c r="M316" i="2"/>
  <c r="N316" i="2"/>
  <c r="G316" i="2"/>
  <c r="O316" i="2"/>
  <c r="K308" i="2"/>
  <c r="L308" i="2"/>
  <c r="M308" i="2"/>
  <c r="N308" i="2"/>
  <c r="G308" i="2"/>
  <c r="O308" i="2"/>
  <c r="K300" i="2"/>
  <c r="L300" i="2"/>
  <c r="M300" i="2"/>
  <c r="N300" i="2"/>
  <c r="G300" i="2"/>
  <c r="O300" i="2"/>
  <c r="J300" i="2"/>
  <c r="K292" i="2"/>
  <c r="L292" i="2"/>
  <c r="M292" i="2"/>
  <c r="N292" i="2"/>
  <c r="G292" i="2"/>
  <c r="O292" i="2"/>
  <c r="J292" i="2"/>
  <c r="K284" i="2"/>
  <c r="L284" i="2"/>
  <c r="M284" i="2"/>
  <c r="N284" i="2"/>
  <c r="G284" i="2"/>
  <c r="O284" i="2"/>
  <c r="J284" i="2"/>
  <c r="K276" i="2"/>
  <c r="L276" i="2"/>
  <c r="M276" i="2"/>
  <c r="N276" i="2"/>
  <c r="G276" i="2"/>
  <c r="O276" i="2"/>
  <c r="J276" i="2"/>
  <c r="K268" i="2"/>
  <c r="L268" i="2"/>
  <c r="M268" i="2"/>
  <c r="N268" i="2"/>
  <c r="G268" i="2"/>
  <c r="O268" i="2"/>
  <c r="J268" i="2"/>
  <c r="L260" i="2"/>
  <c r="N260" i="2"/>
  <c r="G260" i="2"/>
  <c r="O260" i="2"/>
  <c r="H260" i="2"/>
  <c r="I260" i="2"/>
  <c r="J260" i="2"/>
  <c r="P260" i="2"/>
  <c r="L252" i="2"/>
  <c r="M252" i="2"/>
  <c r="N252" i="2"/>
  <c r="G252" i="2"/>
  <c r="O252" i="2"/>
  <c r="H252" i="2"/>
  <c r="I252" i="2"/>
  <c r="J252" i="2"/>
  <c r="L244" i="2"/>
  <c r="M244" i="2"/>
  <c r="N244" i="2"/>
  <c r="G244" i="2"/>
  <c r="O244" i="2"/>
  <c r="H244" i="2"/>
  <c r="I244" i="2"/>
  <c r="J244" i="2"/>
  <c r="L236" i="2"/>
  <c r="M236" i="2"/>
  <c r="N236" i="2"/>
  <c r="G236" i="2"/>
  <c r="O236" i="2"/>
  <c r="H236" i="2"/>
  <c r="I236" i="2"/>
  <c r="J236" i="2"/>
  <c r="L228" i="2"/>
  <c r="M228" i="2"/>
  <c r="N228" i="2"/>
  <c r="G228" i="2"/>
  <c r="O228" i="2"/>
  <c r="H228" i="2"/>
  <c r="I228" i="2"/>
  <c r="J228" i="2"/>
  <c r="L220" i="2"/>
  <c r="M220" i="2"/>
  <c r="N220" i="2"/>
  <c r="G220" i="2"/>
  <c r="O220" i="2"/>
  <c r="H220" i="2"/>
  <c r="P220" i="2"/>
  <c r="I220" i="2"/>
  <c r="J220" i="2"/>
  <c r="K220" i="2"/>
  <c r="L212" i="2"/>
  <c r="M212" i="2"/>
  <c r="N212" i="2"/>
  <c r="G212" i="2"/>
  <c r="O212" i="2"/>
  <c r="H212" i="2"/>
  <c r="P212" i="2"/>
  <c r="I212" i="2"/>
  <c r="J212" i="2"/>
  <c r="L204" i="2"/>
  <c r="M204" i="2"/>
  <c r="N204" i="2"/>
  <c r="G204" i="2"/>
  <c r="O204" i="2"/>
  <c r="H204" i="2"/>
  <c r="P204" i="2"/>
  <c r="K204" i="2"/>
  <c r="L196" i="2"/>
  <c r="M196" i="2"/>
  <c r="N196" i="2"/>
  <c r="G196" i="2"/>
  <c r="O196" i="2"/>
  <c r="H196" i="2"/>
  <c r="P196" i="2"/>
  <c r="J196" i="2"/>
  <c r="K196" i="2"/>
  <c r="I196" i="2"/>
  <c r="L188" i="2"/>
  <c r="M188" i="2"/>
  <c r="N188" i="2"/>
  <c r="G188" i="2"/>
  <c r="O188" i="2"/>
  <c r="H188" i="2"/>
  <c r="P188" i="2"/>
  <c r="I188" i="2"/>
  <c r="J188" i="2"/>
  <c r="K188" i="2"/>
  <c r="L180" i="2"/>
  <c r="M180" i="2"/>
  <c r="N180" i="2"/>
  <c r="G180" i="2"/>
  <c r="O180" i="2"/>
  <c r="H180" i="2"/>
  <c r="P180" i="2"/>
  <c r="I180" i="2"/>
  <c r="J180" i="2"/>
  <c r="L172" i="2"/>
  <c r="M172" i="2"/>
  <c r="N172" i="2"/>
  <c r="G172" i="2"/>
  <c r="O172" i="2"/>
  <c r="H172" i="2"/>
  <c r="P172" i="2"/>
  <c r="K172" i="2"/>
  <c r="L164" i="2"/>
  <c r="M164" i="2"/>
  <c r="N164" i="2"/>
  <c r="G164" i="2"/>
  <c r="O164" i="2"/>
  <c r="H164" i="2"/>
  <c r="P164" i="2"/>
  <c r="J164" i="2"/>
  <c r="K164" i="2"/>
  <c r="I164" i="2"/>
  <c r="K156" i="2"/>
  <c r="L156" i="2"/>
  <c r="M156" i="2"/>
  <c r="N156" i="2"/>
  <c r="G156" i="2"/>
  <c r="H156" i="2"/>
  <c r="I156" i="2"/>
  <c r="J156" i="2"/>
  <c r="O156" i="2"/>
  <c r="K148" i="2"/>
  <c r="L148" i="2"/>
  <c r="M148" i="2"/>
  <c r="N148" i="2"/>
  <c r="J148" i="2"/>
  <c r="G148" i="2"/>
  <c r="H148" i="2"/>
  <c r="I148" i="2"/>
  <c r="K140" i="2"/>
  <c r="L140" i="2"/>
  <c r="M140" i="2"/>
  <c r="N140" i="2"/>
  <c r="J140" i="2"/>
  <c r="P140" i="2"/>
  <c r="G140" i="2"/>
  <c r="O140" i="2"/>
  <c r="K132" i="2"/>
  <c r="L132" i="2"/>
  <c r="M132" i="2"/>
  <c r="N132" i="2"/>
  <c r="J132" i="2"/>
  <c r="I132" i="2"/>
  <c r="O132" i="2"/>
  <c r="P132" i="2"/>
  <c r="H132" i="2"/>
  <c r="K124" i="2"/>
  <c r="L124" i="2"/>
  <c r="M124" i="2"/>
  <c r="N124" i="2"/>
  <c r="J124" i="2"/>
  <c r="G124" i="2"/>
  <c r="H124" i="2"/>
  <c r="I124" i="2"/>
  <c r="O124" i="2"/>
  <c r="P124" i="2"/>
  <c r="K116" i="2"/>
  <c r="L116" i="2"/>
  <c r="M116" i="2"/>
  <c r="N116" i="2"/>
  <c r="J116" i="2"/>
  <c r="G116" i="2"/>
  <c r="H116" i="2"/>
  <c r="I116" i="2"/>
  <c r="P116" i="2"/>
  <c r="O116" i="2"/>
  <c r="K108" i="2"/>
  <c r="L108" i="2"/>
  <c r="M108" i="2"/>
  <c r="N108" i="2"/>
  <c r="J108" i="2"/>
  <c r="P108" i="2"/>
  <c r="G108" i="2"/>
  <c r="O108" i="2"/>
  <c r="I108" i="2"/>
  <c r="H108" i="2"/>
  <c r="K100" i="2"/>
  <c r="L100" i="2"/>
  <c r="M100" i="2"/>
  <c r="N100" i="2"/>
  <c r="G100" i="2"/>
  <c r="O100" i="2"/>
  <c r="H100" i="2"/>
  <c r="P100" i="2"/>
  <c r="I100" i="2"/>
  <c r="J100" i="2"/>
  <c r="K92" i="2"/>
  <c r="L92" i="2"/>
  <c r="M92" i="2"/>
  <c r="N92" i="2"/>
  <c r="G92" i="2"/>
  <c r="O92" i="2"/>
  <c r="H92" i="2"/>
  <c r="P92" i="2"/>
  <c r="J92" i="2"/>
  <c r="I92" i="2"/>
  <c r="K84" i="2"/>
  <c r="L84" i="2"/>
  <c r="M84" i="2"/>
  <c r="N84" i="2"/>
  <c r="G84" i="2"/>
  <c r="O84" i="2"/>
  <c r="H84" i="2"/>
  <c r="P84" i="2"/>
  <c r="I84" i="2"/>
  <c r="J84" i="2"/>
  <c r="K76" i="2"/>
  <c r="L76" i="2"/>
  <c r="M76" i="2"/>
  <c r="N76" i="2"/>
  <c r="G76" i="2"/>
  <c r="O76" i="2"/>
  <c r="H76" i="2"/>
  <c r="P76" i="2"/>
  <c r="I76" i="2"/>
  <c r="J76" i="2"/>
  <c r="K68" i="2"/>
  <c r="L68" i="2"/>
  <c r="M68" i="2"/>
  <c r="N68" i="2"/>
  <c r="G68" i="2"/>
  <c r="O68" i="2"/>
  <c r="H68" i="2"/>
  <c r="P68" i="2"/>
  <c r="I68" i="2"/>
  <c r="J68" i="2"/>
  <c r="K60" i="2"/>
  <c r="L60" i="2"/>
  <c r="M60" i="2"/>
  <c r="N60" i="2"/>
  <c r="G60" i="2"/>
  <c r="O60" i="2"/>
  <c r="H60" i="2"/>
  <c r="P60" i="2"/>
  <c r="I60" i="2"/>
  <c r="J60" i="2"/>
  <c r="K52" i="2"/>
  <c r="L52" i="2"/>
  <c r="M52" i="2"/>
  <c r="N52" i="2"/>
  <c r="G52" i="2"/>
  <c r="O52" i="2"/>
  <c r="H52" i="2"/>
  <c r="P52" i="2"/>
  <c r="I52" i="2"/>
  <c r="J52" i="2"/>
  <c r="K44" i="2"/>
  <c r="L44" i="2"/>
  <c r="M44" i="2"/>
  <c r="N44" i="2"/>
  <c r="G44" i="2"/>
  <c r="O44" i="2"/>
  <c r="H44" i="2"/>
  <c r="P44" i="2"/>
  <c r="I44" i="2"/>
  <c r="J44" i="2"/>
  <c r="G36" i="2"/>
  <c r="O36" i="2"/>
  <c r="H36" i="2"/>
  <c r="P36" i="2"/>
  <c r="I36" i="2"/>
  <c r="J36" i="2"/>
  <c r="K36" i="2"/>
  <c r="L36" i="2"/>
  <c r="N36" i="2"/>
  <c r="M36" i="2"/>
  <c r="G28" i="2"/>
  <c r="O28" i="2"/>
  <c r="H28" i="2"/>
  <c r="P28" i="2"/>
  <c r="I28" i="2"/>
  <c r="J28" i="2"/>
  <c r="K28" i="2"/>
  <c r="L28" i="2"/>
  <c r="N28" i="2"/>
  <c r="M28" i="2"/>
  <c r="G20" i="2"/>
  <c r="O20" i="2"/>
  <c r="H20" i="2"/>
  <c r="P20" i="2"/>
  <c r="I20" i="2"/>
  <c r="J20" i="2"/>
  <c r="K20" i="2"/>
  <c r="L20" i="2"/>
  <c r="N20" i="2"/>
  <c r="M20" i="2"/>
  <c r="G12" i="2"/>
  <c r="O12" i="2"/>
  <c r="H12" i="2"/>
  <c r="P12" i="2"/>
  <c r="I12" i="2"/>
  <c r="J12" i="2"/>
  <c r="K12" i="2"/>
  <c r="L12" i="2"/>
  <c r="N12" i="2"/>
  <c r="M12" i="2"/>
  <c r="G4" i="2"/>
  <c r="O4" i="2"/>
  <c r="H4" i="2"/>
  <c r="P4" i="2"/>
  <c r="I4" i="2"/>
  <c r="J4" i="2"/>
  <c r="K4" i="2"/>
  <c r="L4" i="2"/>
  <c r="N4" i="2"/>
  <c r="M4" i="2"/>
  <c r="F359" i="2"/>
  <c r="F351" i="2"/>
  <c r="F343" i="2"/>
  <c r="F335" i="2"/>
  <c r="F319" i="2"/>
  <c r="F311" i="2"/>
  <c r="F303" i="2"/>
  <c r="F295" i="2"/>
  <c r="F279" i="2"/>
  <c r="F271" i="2"/>
  <c r="F255" i="2"/>
  <c r="F247" i="2"/>
  <c r="F239" i="2"/>
  <c r="F223" i="2"/>
  <c r="F207" i="2"/>
  <c r="F199" i="2"/>
  <c r="F191" i="2"/>
  <c r="F183" i="2"/>
  <c r="F175" i="2"/>
  <c r="F159" i="2"/>
  <c r="F151" i="2"/>
  <c r="F119" i="2"/>
  <c r="F111" i="2"/>
  <c r="F87" i="2"/>
  <c r="F79" i="2"/>
  <c r="F71" i="2"/>
  <c r="F23" i="2"/>
  <c r="F15" i="2"/>
  <c r="F7" i="2"/>
  <c r="I2" i="2"/>
  <c r="P365" i="2"/>
  <c r="H365" i="2"/>
  <c r="J364" i="2"/>
  <c r="L363" i="2"/>
  <c r="N362" i="2"/>
  <c r="P361" i="2"/>
  <c r="H361" i="2"/>
  <c r="J360" i="2"/>
  <c r="L359" i="2"/>
  <c r="N358" i="2"/>
  <c r="P357" i="2"/>
  <c r="H357" i="2"/>
  <c r="J356" i="2"/>
  <c r="L355" i="2"/>
  <c r="N354" i="2"/>
  <c r="P353" i="2"/>
  <c r="H353" i="2"/>
  <c r="J352" i="2"/>
  <c r="L351" i="2"/>
  <c r="N350" i="2"/>
  <c r="P349" i="2"/>
  <c r="G349" i="2"/>
  <c r="H348" i="2"/>
  <c r="O345" i="2"/>
  <c r="L343" i="2"/>
  <c r="N341" i="2"/>
  <c r="H337" i="2"/>
  <c r="G333" i="2"/>
  <c r="N330" i="2"/>
  <c r="P328" i="2"/>
  <c r="M326" i="2"/>
  <c r="J324" i="2"/>
  <c r="I320" i="2"/>
  <c r="P317" i="2"/>
  <c r="H316" i="2"/>
  <c r="O313" i="2"/>
  <c r="L311" i="2"/>
  <c r="N309" i="2"/>
  <c r="H304" i="2"/>
  <c r="P300" i="2"/>
  <c r="N297" i="2"/>
  <c r="L294" i="2"/>
  <c r="H288" i="2"/>
  <c r="P284" i="2"/>
  <c r="N281" i="2"/>
  <c r="L278" i="2"/>
  <c r="H272" i="2"/>
  <c r="P268" i="2"/>
  <c r="N261" i="2"/>
  <c r="M255" i="2"/>
  <c r="K236" i="2"/>
  <c r="G230" i="2"/>
  <c r="N214" i="2"/>
  <c r="G206" i="2"/>
  <c r="O197" i="2"/>
  <c r="H189" i="2"/>
  <c r="K180" i="2"/>
  <c r="I172" i="2"/>
  <c r="O148" i="2"/>
  <c r="M335" i="2"/>
  <c r="N335" i="2"/>
  <c r="G335" i="2"/>
  <c r="O335" i="2"/>
  <c r="H335" i="2"/>
  <c r="P335" i="2"/>
  <c r="I335" i="2"/>
  <c r="M287" i="2"/>
  <c r="N287" i="2"/>
  <c r="G287" i="2"/>
  <c r="O287" i="2"/>
  <c r="H287" i="2"/>
  <c r="P287" i="2"/>
  <c r="I287" i="2"/>
  <c r="L287" i="2"/>
  <c r="N263" i="2"/>
  <c r="H263" i="2"/>
  <c r="I263" i="2"/>
  <c r="J263" i="2"/>
  <c r="K263" i="2"/>
  <c r="L263" i="2"/>
  <c r="G263" i="2"/>
  <c r="P263" i="2"/>
  <c r="N215" i="2"/>
  <c r="G215" i="2"/>
  <c r="O215" i="2"/>
  <c r="H215" i="2"/>
  <c r="P215" i="2"/>
  <c r="I215" i="2"/>
  <c r="J215" i="2"/>
  <c r="L215" i="2"/>
  <c r="M215" i="2"/>
  <c r="K215" i="2"/>
  <c r="N167" i="2"/>
  <c r="G167" i="2"/>
  <c r="O167" i="2"/>
  <c r="H167" i="2"/>
  <c r="P167" i="2"/>
  <c r="I167" i="2"/>
  <c r="J167" i="2"/>
  <c r="K167" i="2"/>
  <c r="L167" i="2"/>
  <c r="M127" i="2"/>
  <c r="N127" i="2"/>
  <c r="G127" i="2"/>
  <c r="O127" i="2"/>
  <c r="H127" i="2"/>
  <c r="P127" i="2"/>
  <c r="L127" i="2"/>
  <c r="I127" i="2"/>
  <c r="J127" i="2"/>
  <c r="K127" i="2"/>
  <c r="M63" i="2"/>
  <c r="N63" i="2"/>
  <c r="G63" i="2"/>
  <c r="O63" i="2"/>
  <c r="H63" i="2"/>
  <c r="P63" i="2"/>
  <c r="I63" i="2"/>
  <c r="J63" i="2"/>
  <c r="K63" i="2"/>
  <c r="L63" i="2"/>
  <c r="I31" i="2"/>
  <c r="J31" i="2"/>
  <c r="K31" i="2"/>
  <c r="L31" i="2"/>
  <c r="M31" i="2"/>
  <c r="N31" i="2"/>
  <c r="H31" i="2"/>
  <c r="P31" i="2"/>
  <c r="G31" i="2"/>
  <c r="O31" i="2"/>
  <c r="G351" i="2"/>
  <c r="G286" i="2"/>
  <c r="O286" i="2"/>
  <c r="H286" i="2"/>
  <c r="P286" i="2"/>
  <c r="I286" i="2"/>
  <c r="J286" i="2"/>
  <c r="K286" i="2"/>
  <c r="N286" i="2"/>
  <c r="H238" i="2"/>
  <c r="P238" i="2"/>
  <c r="I238" i="2"/>
  <c r="J238" i="2"/>
  <c r="K238" i="2"/>
  <c r="N238" i="2"/>
  <c r="O238" i="2"/>
  <c r="M238" i="2"/>
  <c r="H182" i="2"/>
  <c r="P182" i="2"/>
  <c r="I182" i="2"/>
  <c r="J182" i="2"/>
  <c r="K182" i="2"/>
  <c r="L182" i="2"/>
  <c r="G182" i="2"/>
  <c r="M182" i="2"/>
  <c r="G134" i="2"/>
  <c r="O134" i="2"/>
  <c r="H134" i="2"/>
  <c r="P134" i="2"/>
  <c r="I134" i="2"/>
  <c r="J134" i="2"/>
  <c r="N134" i="2"/>
  <c r="L134" i="2"/>
  <c r="M134" i="2"/>
  <c r="K134" i="2"/>
  <c r="G86" i="2"/>
  <c r="O86" i="2"/>
  <c r="H86" i="2"/>
  <c r="P86" i="2"/>
  <c r="I86" i="2"/>
  <c r="J86" i="2"/>
  <c r="K86" i="2"/>
  <c r="L86" i="2"/>
  <c r="N86" i="2"/>
  <c r="M86" i="2"/>
  <c r="K30" i="2"/>
  <c r="L30" i="2"/>
  <c r="M30" i="2"/>
  <c r="N30" i="2"/>
  <c r="G30" i="2"/>
  <c r="O30" i="2"/>
  <c r="H30" i="2"/>
  <c r="P30" i="2"/>
  <c r="J30" i="2"/>
  <c r="I30" i="2"/>
  <c r="N359" i="2"/>
  <c r="N351" i="2"/>
  <c r="M199" i="2"/>
  <c r="M347" i="2"/>
  <c r="N347" i="2"/>
  <c r="G347" i="2"/>
  <c r="O347" i="2"/>
  <c r="H347" i="2"/>
  <c r="P347" i="2"/>
  <c r="I347" i="2"/>
  <c r="M339" i="2"/>
  <c r="N339" i="2"/>
  <c r="G339" i="2"/>
  <c r="O339" i="2"/>
  <c r="H339" i="2"/>
  <c r="P339" i="2"/>
  <c r="I339" i="2"/>
  <c r="M331" i="2"/>
  <c r="N331" i="2"/>
  <c r="G331" i="2"/>
  <c r="O331" i="2"/>
  <c r="H331" i="2"/>
  <c r="P331" i="2"/>
  <c r="I331" i="2"/>
  <c r="M323" i="2"/>
  <c r="N323" i="2"/>
  <c r="G323" i="2"/>
  <c r="O323" i="2"/>
  <c r="H323" i="2"/>
  <c r="P323" i="2"/>
  <c r="I323" i="2"/>
  <c r="M315" i="2"/>
  <c r="N315" i="2"/>
  <c r="G315" i="2"/>
  <c r="O315" i="2"/>
  <c r="H315" i="2"/>
  <c r="P315" i="2"/>
  <c r="I315" i="2"/>
  <c r="M307" i="2"/>
  <c r="N307" i="2"/>
  <c r="G307" i="2"/>
  <c r="O307" i="2"/>
  <c r="H307" i="2"/>
  <c r="P307" i="2"/>
  <c r="I307" i="2"/>
  <c r="L307" i="2"/>
  <c r="M299" i="2"/>
  <c r="N299" i="2"/>
  <c r="G299" i="2"/>
  <c r="O299" i="2"/>
  <c r="H299" i="2"/>
  <c r="P299" i="2"/>
  <c r="I299" i="2"/>
  <c r="L299" i="2"/>
  <c r="M291" i="2"/>
  <c r="N291" i="2"/>
  <c r="G291" i="2"/>
  <c r="O291" i="2"/>
  <c r="H291" i="2"/>
  <c r="P291" i="2"/>
  <c r="I291" i="2"/>
  <c r="L291" i="2"/>
  <c r="M283" i="2"/>
  <c r="N283" i="2"/>
  <c r="G283" i="2"/>
  <c r="O283" i="2"/>
  <c r="H283" i="2"/>
  <c r="P283" i="2"/>
  <c r="I283" i="2"/>
  <c r="L283" i="2"/>
  <c r="M275" i="2"/>
  <c r="N275" i="2"/>
  <c r="G275" i="2"/>
  <c r="O275" i="2"/>
  <c r="H275" i="2"/>
  <c r="P275" i="2"/>
  <c r="I275" i="2"/>
  <c r="L275" i="2"/>
  <c r="M267" i="2"/>
  <c r="N267" i="2"/>
  <c r="G267" i="2"/>
  <c r="O267" i="2"/>
  <c r="H267" i="2"/>
  <c r="P267" i="2"/>
  <c r="I267" i="2"/>
  <c r="L267" i="2"/>
  <c r="N259" i="2"/>
  <c r="G259" i="2"/>
  <c r="O259" i="2"/>
  <c r="H259" i="2"/>
  <c r="P259" i="2"/>
  <c r="I259" i="2"/>
  <c r="L259" i="2"/>
  <c r="M259" i="2"/>
  <c r="K259" i="2"/>
  <c r="N251" i="2"/>
  <c r="G251" i="2"/>
  <c r="O251" i="2"/>
  <c r="H251" i="2"/>
  <c r="P251" i="2"/>
  <c r="I251" i="2"/>
  <c r="L251" i="2"/>
  <c r="M251" i="2"/>
  <c r="K251" i="2"/>
  <c r="N243" i="2"/>
  <c r="G243" i="2"/>
  <c r="O243" i="2"/>
  <c r="H243" i="2"/>
  <c r="P243" i="2"/>
  <c r="I243" i="2"/>
  <c r="L243" i="2"/>
  <c r="M243" i="2"/>
  <c r="K243" i="2"/>
  <c r="N235" i="2"/>
  <c r="G235" i="2"/>
  <c r="O235" i="2"/>
  <c r="H235" i="2"/>
  <c r="P235" i="2"/>
  <c r="I235" i="2"/>
  <c r="L235" i="2"/>
  <c r="M235" i="2"/>
  <c r="K235" i="2"/>
  <c r="N227" i="2"/>
  <c r="G227" i="2"/>
  <c r="O227" i="2"/>
  <c r="H227" i="2"/>
  <c r="P227" i="2"/>
  <c r="I227" i="2"/>
  <c r="L227" i="2"/>
  <c r="M227" i="2"/>
  <c r="K227" i="2"/>
  <c r="N219" i="2"/>
  <c r="G219" i="2"/>
  <c r="O219" i="2"/>
  <c r="H219" i="2"/>
  <c r="P219" i="2"/>
  <c r="I219" i="2"/>
  <c r="J219" i="2"/>
  <c r="M219" i="2"/>
  <c r="L219" i="2"/>
  <c r="N211" i="2"/>
  <c r="G211" i="2"/>
  <c r="O211" i="2"/>
  <c r="H211" i="2"/>
  <c r="P211" i="2"/>
  <c r="I211" i="2"/>
  <c r="J211" i="2"/>
  <c r="K211" i="2"/>
  <c r="L211" i="2"/>
  <c r="M211" i="2"/>
  <c r="N203" i="2"/>
  <c r="G203" i="2"/>
  <c r="O203" i="2"/>
  <c r="H203" i="2"/>
  <c r="P203" i="2"/>
  <c r="I203" i="2"/>
  <c r="J203" i="2"/>
  <c r="K203" i="2"/>
  <c r="L203" i="2"/>
  <c r="M203" i="2"/>
  <c r="N195" i="2"/>
  <c r="G195" i="2"/>
  <c r="O195" i="2"/>
  <c r="H195" i="2"/>
  <c r="P195" i="2"/>
  <c r="I195" i="2"/>
  <c r="J195" i="2"/>
  <c r="K195" i="2"/>
  <c r="N187" i="2"/>
  <c r="G187" i="2"/>
  <c r="O187" i="2"/>
  <c r="H187" i="2"/>
  <c r="P187" i="2"/>
  <c r="I187" i="2"/>
  <c r="J187" i="2"/>
  <c r="M187" i="2"/>
  <c r="L187" i="2"/>
  <c r="N179" i="2"/>
  <c r="G179" i="2"/>
  <c r="O179" i="2"/>
  <c r="H179" i="2"/>
  <c r="P179" i="2"/>
  <c r="I179" i="2"/>
  <c r="J179" i="2"/>
  <c r="K179" i="2"/>
  <c r="L179" i="2"/>
  <c r="M179" i="2"/>
  <c r="N171" i="2"/>
  <c r="G171" i="2"/>
  <c r="O171" i="2"/>
  <c r="H171" i="2"/>
  <c r="P171" i="2"/>
  <c r="I171" i="2"/>
  <c r="J171" i="2"/>
  <c r="K171" i="2"/>
  <c r="L171" i="2"/>
  <c r="M171" i="2"/>
  <c r="N163" i="2"/>
  <c r="G163" i="2"/>
  <c r="O163" i="2"/>
  <c r="H163" i="2"/>
  <c r="P163" i="2"/>
  <c r="I163" i="2"/>
  <c r="J163" i="2"/>
  <c r="K163" i="2"/>
  <c r="M155" i="2"/>
  <c r="N155" i="2"/>
  <c r="G155" i="2"/>
  <c r="O155" i="2"/>
  <c r="H155" i="2"/>
  <c r="P155" i="2"/>
  <c r="L155" i="2"/>
  <c r="K155" i="2"/>
  <c r="I155" i="2"/>
  <c r="J155" i="2"/>
  <c r="M147" i="2"/>
  <c r="N147" i="2"/>
  <c r="G147" i="2"/>
  <c r="O147" i="2"/>
  <c r="H147" i="2"/>
  <c r="P147" i="2"/>
  <c r="L147" i="2"/>
  <c r="J147" i="2"/>
  <c r="K147" i="2"/>
  <c r="I147" i="2"/>
  <c r="M139" i="2"/>
  <c r="N139" i="2"/>
  <c r="G139" i="2"/>
  <c r="O139" i="2"/>
  <c r="H139" i="2"/>
  <c r="P139" i="2"/>
  <c r="L139" i="2"/>
  <c r="I139" i="2"/>
  <c r="J139" i="2"/>
  <c r="K139" i="2"/>
  <c r="M131" i="2"/>
  <c r="N131" i="2"/>
  <c r="G131" i="2"/>
  <c r="O131" i="2"/>
  <c r="H131" i="2"/>
  <c r="P131" i="2"/>
  <c r="L131" i="2"/>
  <c r="I131" i="2"/>
  <c r="J131" i="2"/>
  <c r="M123" i="2"/>
  <c r="N123" i="2"/>
  <c r="G123" i="2"/>
  <c r="O123" i="2"/>
  <c r="H123" i="2"/>
  <c r="P123" i="2"/>
  <c r="L123" i="2"/>
  <c r="K123" i="2"/>
  <c r="M115" i="2"/>
  <c r="N115" i="2"/>
  <c r="G115" i="2"/>
  <c r="O115" i="2"/>
  <c r="H115" i="2"/>
  <c r="P115" i="2"/>
  <c r="L115" i="2"/>
  <c r="J115" i="2"/>
  <c r="K115" i="2"/>
  <c r="I115" i="2"/>
  <c r="M107" i="2"/>
  <c r="N107" i="2"/>
  <c r="G107" i="2"/>
  <c r="O107" i="2"/>
  <c r="H107" i="2"/>
  <c r="P107" i="2"/>
  <c r="L107" i="2"/>
  <c r="I107" i="2"/>
  <c r="J107" i="2"/>
  <c r="K107" i="2"/>
  <c r="M99" i="2"/>
  <c r="N99" i="2"/>
  <c r="G99" i="2"/>
  <c r="O99" i="2"/>
  <c r="H99" i="2"/>
  <c r="P99" i="2"/>
  <c r="I99" i="2"/>
  <c r="J99" i="2"/>
  <c r="L99" i="2"/>
  <c r="K99" i="2"/>
  <c r="M91" i="2"/>
  <c r="N91" i="2"/>
  <c r="G91" i="2"/>
  <c r="O91" i="2"/>
  <c r="H91" i="2"/>
  <c r="P91" i="2"/>
  <c r="I91" i="2"/>
  <c r="J91" i="2"/>
  <c r="K91" i="2"/>
  <c r="L91" i="2"/>
  <c r="M83" i="2"/>
  <c r="N83" i="2"/>
  <c r="G83" i="2"/>
  <c r="O83" i="2"/>
  <c r="H83" i="2"/>
  <c r="P83" i="2"/>
  <c r="I83" i="2"/>
  <c r="J83" i="2"/>
  <c r="L83" i="2"/>
  <c r="K83" i="2"/>
  <c r="M75" i="2"/>
  <c r="N75" i="2"/>
  <c r="G75" i="2"/>
  <c r="O75" i="2"/>
  <c r="H75" i="2"/>
  <c r="P75" i="2"/>
  <c r="I75" i="2"/>
  <c r="J75" i="2"/>
  <c r="K75" i="2"/>
  <c r="L75" i="2"/>
  <c r="M67" i="2"/>
  <c r="N67" i="2"/>
  <c r="G67" i="2"/>
  <c r="O67" i="2"/>
  <c r="H67" i="2"/>
  <c r="P67" i="2"/>
  <c r="I67" i="2"/>
  <c r="J67" i="2"/>
  <c r="L67" i="2"/>
  <c r="K67" i="2"/>
  <c r="M59" i="2"/>
  <c r="N59" i="2"/>
  <c r="G59" i="2"/>
  <c r="O59" i="2"/>
  <c r="H59" i="2"/>
  <c r="P59" i="2"/>
  <c r="I59" i="2"/>
  <c r="J59" i="2"/>
  <c r="K59" i="2"/>
  <c r="L59" i="2"/>
  <c r="M51" i="2"/>
  <c r="N51" i="2"/>
  <c r="G51" i="2"/>
  <c r="O51" i="2"/>
  <c r="H51" i="2"/>
  <c r="P51" i="2"/>
  <c r="I51" i="2"/>
  <c r="J51" i="2"/>
  <c r="L51" i="2"/>
  <c r="K51" i="2"/>
  <c r="I43" i="2"/>
  <c r="M43" i="2"/>
  <c r="N43" i="2"/>
  <c r="O43" i="2"/>
  <c r="G43" i="2"/>
  <c r="P43" i="2"/>
  <c r="H43" i="2"/>
  <c r="J43" i="2"/>
  <c r="K43" i="2"/>
  <c r="L43" i="2"/>
  <c r="I35" i="2"/>
  <c r="J35" i="2"/>
  <c r="K35" i="2"/>
  <c r="L35" i="2"/>
  <c r="M35" i="2"/>
  <c r="N35" i="2"/>
  <c r="H35" i="2"/>
  <c r="P35" i="2"/>
  <c r="O35" i="2"/>
  <c r="G35" i="2"/>
  <c r="I27" i="2"/>
  <c r="J27" i="2"/>
  <c r="K27" i="2"/>
  <c r="L27" i="2"/>
  <c r="M27" i="2"/>
  <c r="N27" i="2"/>
  <c r="H27" i="2"/>
  <c r="P27" i="2"/>
  <c r="G27" i="2"/>
  <c r="O27" i="2"/>
  <c r="I19" i="2"/>
  <c r="J19" i="2"/>
  <c r="K19" i="2"/>
  <c r="L19" i="2"/>
  <c r="M19" i="2"/>
  <c r="N19" i="2"/>
  <c r="H19" i="2"/>
  <c r="P19" i="2"/>
  <c r="G19" i="2"/>
  <c r="O19" i="2"/>
  <c r="I11" i="2"/>
  <c r="J11" i="2"/>
  <c r="K11" i="2"/>
  <c r="L11" i="2"/>
  <c r="M11" i="2"/>
  <c r="N11" i="2"/>
  <c r="H11" i="2"/>
  <c r="P11" i="2"/>
  <c r="G11" i="2"/>
  <c r="O11" i="2"/>
  <c r="I3" i="2"/>
  <c r="J3" i="2"/>
  <c r="K3" i="2"/>
  <c r="L3" i="2"/>
  <c r="M3" i="2"/>
  <c r="N3" i="2"/>
  <c r="H3" i="2"/>
  <c r="P3" i="2"/>
  <c r="O3" i="2"/>
  <c r="F358" i="2"/>
  <c r="F350" i="2"/>
  <c r="F334" i="2"/>
  <c r="F326" i="2"/>
  <c r="F318" i="2"/>
  <c r="F310" i="2"/>
  <c r="F286" i="2"/>
  <c r="F278" i="2"/>
  <c r="F270" i="2"/>
  <c r="F262" i="2"/>
  <c r="F254" i="2"/>
  <c r="F238" i="2"/>
  <c r="F230" i="2"/>
  <c r="F222" i="2"/>
  <c r="F214" i="2"/>
  <c r="F190" i="2"/>
  <c r="F182" i="2"/>
  <c r="F174" i="2"/>
  <c r="F158" i="2"/>
  <c r="F150" i="2"/>
  <c r="F134" i="2"/>
  <c r="F126" i="2"/>
  <c r="F118" i="2"/>
  <c r="F110" i="2"/>
  <c r="F94" i="2"/>
  <c r="F86" i="2"/>
  <c r="F78" i="2"/>
  <c r="F54" i="2"/>
  <c r="F30" i="2"/>
  <c r="F22" i="2"/>
  <c r="F14" i="2"/>
  <c r="F6" i="2"/>
  <c r="J2" i="2"/>
  <c r="O365" i="2"/>
  <c r="G365" i="2"/>
  <c r="I364" i="2"/>
  <c r="K363" i="2"/>
  <c r="M362" i="2"/>
  <c r="O361" i="2"/>
  <c r="G361" i="2"/>
  <c r="I360" i="2"/>
  <c r="K359" i="2"/>
  <c r="M358" i="2"/>
  <c r="O357" i="2"/>
  <c r="G357" i="2"/>
  <c r="I356" i="2"/>
  <c r="K355" i="2"/>
  <c r="M354" i="2"/>
  <c r="O353" i="2"/>
  <c r="G353" i="2"/>
  <c r="I352" i="2"/>
  <c r="K351" i="2"/>
  <c r="M350" i="2"/>
  <c r="O349" i="2"/>
  <c r="P348" i="2"/>
  <c r="L347" i="2"/>
  <c r="N345" i="2"/>
  <c r="K343" i="2"/>
  <c r="H341" i="2"/>
  <c r="J339" i="2"/>
  <c r="N334" i="2"/>
  <c r="P332" i="2"/>
  <c r="J328" i="2"/>
  <c r="L326" i="2"/>
  <c r="I324" i="2"/>
  <c r="P321" i="2"/>
  <c r="H320" i="2"/>
  <c r="O317" i="2"/>
  <c r="L315" i="2"/>
  <c r="N313" i="2"/>
  <c r="H309" i="2"/>
  <c r="K303" i="2"/>
  <c r="I300" i="2"/>
  <c r="O293" i="2"/>
  <c r="K287" i="2"/>
  <c r="I284" i="2"/>
  <c r="O277" i="2"/>
  <c r="K271" i="2"/>
  <c r="I268" i="2"/>
  <c r="N264" i="2"/>
  <c r="M260" i="2"/>
  <c r="L254" i="2"/>
  <c r="H248" i="2"/>
  <c r="N241" i="2"/>
  <c r="J235" i="2"/>
  <c r="P228" i="2"/>
  <c r="I221" i="2"/>
  <c r="G213" i="2"/>
  <c r="J204" i="2"/>
  <c r="M195" i="2"/>
  <c r="K187" i="2"/>
  <c r="O161" i="2"/>
  <c r="I140" i="2"/>
  <c r="M311" i="2"/>
  <c r="N311" i="2"/>
  <c r="G311" i="2"/>
  <c r="O311" i="2"/>
  <c r="H311" i="2"/>
  <c r="P311" i="2"/>
  <c r="I311" i="2"/>
  <c r="N223" i="2"/>
  <c r="G223" i="2"/>
  <c r="O223" i="2"/>
  <c r="H223" i="2"/>
  <c r="P223" i="2"/>
  <c r="I223" i="2"/>
  <c r="J223" i="2"/>
  <c r="M223" i="2"/>
  <c r="M143" i="2"/>
  <c r="N143" i="2"/>
  <c r="G143" i="2"/>
  <c r="O143" i="2"/>
  <c r="H143" i="2"/>
  <c r="P143" i="2"/>
  <c r="L143" i="2"/>
  <c r="I143" i="2"/>
  <c r="J143" i="2"/>
  <c r="K143" i="2"/>
  <c r="M103" i="2"/>
  <c r="N103" i="2"/>
  <c r="G103" i="2"/>
  <c r="O103" i="2"/>
  <c r="H103" i="2"/>
  <c r="P103" i="2"/>
  <c r="I103" i="2"/>
  <c r="J103" i="2"/>
  <c r="K103" i="2"/>
  <c r="L103" i="2"/>
  <c r="M55" i="2"/>
  <c r="N55" i="2"/>
  <c r="G55" i="2"/>
  <c r="O55" i="2"/>
  <c r="H55" i="2"/>
  <c r="P55" i="2"/>
  <c r="I55" i="2"/>
  <c r="J55" i="2"/>
  <c r="K55" i="2"/>
  <c r="L55" i="2"/>
  <c r="M47" i="2"/>
  <c r="N47" i="2"/>
  <c r="G47" i="2"/>
  <c r="O47" i="2"/>
  <c r="H47" i="2"/>
  <c r="P47" i="2"/>
  <c r="I47" i="2"/>
  <c r="J47" i="2"/>
  <c r="L47" i="2"/>
  <c r="K47" i="2"/>
  <c r="G359" i="2"/>
  <c r="O351" i="2"/>
  <c r="G406" i="2"/>
  <c r="P406" i="2"/>
  <c r="I406" i="2"/>
  <c r="G342" i="2"/>
  <c r="O342" i="2"/>
  <c r="H342" i="2"/>
  <c r="P342" i="2"/>
  <c r="I342" i="2"/>
  <c r="J342" i="2"/>
  <c r="K342" i="2"/>
  <c r="G294" i="2"/>
  <c r="O294" i="2"/>
  <c r="H294" i="2"/>
  <c r="P294" i="2"/>
  <c r="I294" i="2"/>
  <c r="J294" i="2"/>
  <c r="K294" i="2"/>
  <c r="N294" i="2"/>
  <c r="H246" i="2"/>
  <c r="P246" i="2"/>
  <c r="I246" i="2"/>
  <c r="J246" i="2"/>
  <c r="K246" i="2"/>
  <c r="N246" i="2"/>
  <c r="O246" i="2"/>
  <c r="M246" i="2"/>
  <c r="H198" i="2"/>
  <c r="P198" i="2"/>
  <c r="I198" i="2"/>
  <c r="J198" i="2"/>
  <c r="K198" i="2"/>
  <c r="L198" i="2"/>
  <c r="M198" i="2"/>
  <c r="N198" i="2"/>
  <c r="O198" i="2"/>
  <c r="G198" i="2"/>
  <c r="G142" i="2"/>
  <c r="O142" i="2"/>
  <c r="H142" i="2"/>
  <c r="P142" i="2"/>
  <c r="I142" i="2"/>
  <c r="J142" i="2"/>
  <c r="N142" i="2"/>
  <c r="M142" i="2"/>
  <c r="L142" i="2"/>
  <c r="K142" i="2"/>
  <c r="G70" i="2"/>
  <c r="O70" i="2"/>
  <c r="H70" i="2"/>
  <c r="P70" i="2"/>
  <c r="I70" i="2"/>
  <c r="J70" i="2"/>
  <c r="K70" i="2"/>
  <c r="L70" i="2"/>
  <c r="N70" i="2"/>
  <c r="M70" i="2"/>
  <c r="G46" i="2"/>
  <c r="O46" i="2"/>
  <c r="H46" i="2"/>
  <c r="P46" i="2"/>
  <c r="I46" i="2"/>
  <c r="J46" i="2"/>
  <c r="K46" i="2"/>
  <c r="L46" i="2"/>
  <c r="M46" i="2"/>
  <c r="N46" i="2"/>
  <c r="O2" i="2"/>
  <c r="M318" i="2"/>
  <c r="N262" i="2"/>
  <c r="N457" i="2"/>
  <c r="K457" i="2"/>
  <c r="G346" i="2"/>
  <c r="O346" i="2"/>
  <c r="H346" i="2"/>
  <c r="P346" i="2"/>
  <c r="I346" i="2"/>
  <c r="J346" i="2"/>
  <c r="K346" i="2"/>
  <c r="G338" i="2"/>
  <c r="O338" i="2"/>
  <c r="H338" i="2"/>
  <c r="P338" i="2"/>
  <c r="I338" i="2"/>
  <c r="J338" i="2"/>
  <c r="K338" i="2"/>
  <c r="G330" i="2"/>
  <c r="O330" i="2"/>
  <c r="H330" i="2"/>
  <c r="P330" i="2"/>
  <c r="I330" i="2"/>
  <c r="J330" i="2"/>
  <c r="K330" i="2"/>
  <c r="G322" i="2"/>
  <c r="O322" i="2"/>
  <c r="H322" i="2"/>
  <c r="P322" i="2"/>
  <c r="I322" i="2"/>
  <c r="J322" i="2"/>
  <c r="K322" i="2"/>
  <c r="G314" i="2"/>
  <c r="O314" i="2"/>
  <c r="H314" i="2"/>
  <c r="P314" i="2"/>
  <c r="I314" i="2"/>
  <c r="J314" i="2"/>
  <c r="K314" i="2"/>
  <c r="G306" i="2"/>
  <c r="O306" i="2"/>
  <c r="H306" i="2"/>
  <c r="P306" i="2"/>
  <c r="I306" i="2"/>
  <c r="J306" i="2"/>
  <c r="K306" i="2"/>
  <c r="N306" i="2"/>
  <c r="G298" i="2"/>
  <c r="O298" i="2"/>
  <c r="H298" i="2"/>
  <c r="P298" i="2"/>
  <c r="I298" i="2"/>
  <c r="J298" i="2"/>
  <c r="K298" i="2"/>
  <c r="N298" i="2"/>
  <c r="G290" i="2"/>
  <c r="O290" i="2"/>
  <c r="H290" i="2"/>
  <c r="P290" i="2"/>
  <c r="I290" i="2"/>
  <c r="J290" i="2"/>
  <c r="K290" i="2"/>
  <c r="N290" i="2"/>
  <c r="G282" i="2"/>
  <c r="O282" i="2"/>
  <c r="H282" i="2"/>
  <c r="P282" i="2"/>
  <c r="I282" i="2"/>
  <c r="J282" i="2"/>
  <c r="K282" i="2"/>
  <c r="N282" i="2"/>
  <c r="G274" i="2"/>
  <c r="O274" i="2"/>
  <c r="H274" i="2"/>
  <c r="P274" i="2"/>
  <c r="I274" i="2"/>
  <c r="J274" i="2"/>
  <c r="K274" i="2"/>
  <c r="N274" i="2"/>
  <c r="H266" i="2"/>
  <c r="P266" i="2"/>
  <c r="N266" i="2"/>
  <c r="O266" i="2"/>
  <c r="G266" i="2"/>
  <c r="I266" i="2"/>
  <c r="J266" i="2"/>
  <c r="M266" i="2"/>
  <c r="H258" i="2"/>
  <c r="P258" i="2"/>
  <c r="I258" i="2"/>
  <c r="J258" i="2"/>
  <c r="K258" i="2"/>
  <c r="G258" i="2"/>
  <c r="L258" i="2"/>
  <c r="M258" i="2"/>
  <c r="N258" i="2"/>
  <c r="H250" i="2"/>
  <c r="P250" i="2"/>
  <c r="I250" i="2"/>
  <c r="J250" i="2"/>
  <c r="K250" i="2"/>
  <c r="G250" i="2"/>
  <c r="L250" i="2"/>
  <c r="M250" i="2"/>
  <c r="N250" i="2"/>
  <c r="H242" i="2"/>
  <c r="P242" i="2"/>
  <c r="I242" i="2"/>
  <c r="J242" i="2"/>
  <c r="K242" i="2"/>
  <c r="G242" i="2"/>
  <c r="L242" i="2"/>
  <c r="M242" i="2"/>
  <c r="N242" i="2"/>
  <c r="H234" i="2"/>
  <c r="P234" i="2"/>
  <c r="I234" i="2"/>
  <c r="J234" i="2"/>
  <c r="K234" i="2"/>
  <c r="G234" i="2"/>
  <c r="L234" i="2"/>
  <c r="M234" i="2"/>
  <c r="N234" i="2"/>
  <c r="H226" i="2"/>
  <c r="P226" i="2"/>
  <c r="I226" i="2"/>
  <c r="J226" i="2"/>
  <c r="K226" i="2"/>
  <c r="G226" i="2"/>
  <c r="L226" i="2"/>
  <c r="M226" i="2"/>
  <c r="N226" i="2"/>
  <c r="H218" i="2"/>
  <c r="P218" i="2"/>
  <c r="I218" i="2"/>
  <c r="J218" i="2"/>
  <c r="K218" i="2"/>
  <c r="L218" i="2"/>
  <c r="G218" i="2"/>
  <c r="M218" i="2"/>
  <c r="N218" i="2"/>
  <c r="H210" i="2"/>
  <c r="P210" i="2"/>
  <c r="I210" i="2"/>
  <c r="J210" i="2"/>
  <c r="K210" i="2"/>
  <c r="L210" i="2"/>
  <c r="G210" i="2"/>
  <c r="O210" i="2"/>
  <c r="H202" i="2"/>
  <c r="P202" i="2"/>
  <c r="I202" i="2"/>
  <c r="J202" i="2"/>
  <c r="K202" i="2"/>
  <c r="L202" i="2"/>
  <c r="N202" i="2"/>
  <c r="O202" i="2"/>
  <c r="M202" i="2"/>
  <c r="H194" i="2"/>
  <c r="P194" i="2"/>
  <c r="I194" i="2"/>
  <c r="J194" i="2"/>
  <c r="K194" i="2"/>
  <c r="L194" i="2"/>
  <c r="G194" i="2"/>
  <c r="M194" i="2"/>
  <c r="N194" i="2"/>
  <c r="O194" i="2"/>
  <c r="H186" i="2"/>
  <c r="P186" i="2"/>
  <c r="I186" i="2"/>
  <c r="J186" i="2"/>
  <c r="K186" i="2"/>
  <c r="L186" i="2"/>
  <c r="G186" i="2"/>
  <c r="M186" i="2"/>
  <c r="N186" i="2"/>
  <c r="H178" i="2"/>
  <c r="P178" i="2"/>
  <c r="I178" i="2"/>
  <c r="J178" i="2"/>
  <c r="K178" i="2"/>
  <c r="L178" i="2"/>
  <c r="G178" i="2"/>
  <c r="O178" i="2"/>
  <c r="H170" i="2"/>
  <c r="P170" i="2"/>
  <c r="I170" i="2"/>
  <c r="J170" i="2"/>
  <c r="K170" i="2"/>
  <c r="L170" i="2"/>
  <c r="N170" i="2"/>
  <c r="O170" i="2"/>
  <c r="M170" i="2"/>
  <c r="H162" i="2"/>
  <c r="P162" i="2"/>
  <c r="I162" i="2"/>
  <c r="J162" i="2"/>
  <c r="K162" i="2"/>
  <c r="L162" i="2"/>
  <c r="G162" i="2"/>
  <c r="M162" i="2"/>
  <c r="N162" i="2"/>
  <c r="O162" i="2"/>
  <c r="G154" i="2"/>
  <c r="O154" i="2"/>
  <c r="H154" i="2"/>
  <c r="P154" i="2"/>
  <c r="I154" i="2"/>
  <c r="J154" i="2"/>
  <c r="N154" i="2"/>
  <c r="K154" i="2"/>
  <c r="L154" i="2"/>
  <c r="M154" i="2"/>
  <c r="G146" i="2"/>
  <c r="O146" i="2"/>
  <c r="H146" i="2"/>
  <c r="P146" i="2"/>
  <c r="I146" i="2"/>
  <c r="J146" i="2"/>
  <c r="N146" i="2"/>
  <c r="K146" i="2"/>
  <c r="L146" i="2"/>
  <c r="M146" i="2"/>
  <c r="G138" i="2"/>
  <c r="O138" i="2"/>
  <c r="H138" i="2"/>
  <c r="P138" i="2"/>
  <c r="I138" i="2"/>
  <c r="J138" i="2"/>
  <c r="N138" i="2"/>
  <c r="M138" i="2"/>
  <c r="L138" i="2"/>
  <c r="K138" i="2"/>
  <c r="G130" i="2"/>
  <c r="O130" i="2"/>
  <c r="H130" i="2"/>
  <c r="P130" i="2"/>
  <c r="I130" i="2"/>
  <c r="J130" i="2"/>
  <c r="N130" i="2"/>
  <c r="K130" i="2"/>
  <c r="L130" i="2"/>
  <c r="M130" i="2"/>
  <c r="G122" i="2"/>
  <c r="O122" i="2"/>
  <c r="H122" i="2"/>
  <c r="P122" i="2"/>
  <c r="I122" i="2"/>
  <c r="J122" i="2"/>
  <c r="N122" i="2"/>
  <c r="K122" i="2"/>
  <c r="L122" i="2"/>
  <c r="M122" i="2"/>
  <c r="G114" i="2"/>
  <c r="O114" i="2"/>
  <c r="H114" i="2"/>
  <c r="P114" i="2"/>
  <c r="I114" i="2"/>
  <c r="J114" i="2"/>
  <c r="N114" i="2"/>
  <c r="K114" i="2"/>
  <c r="I106" i="2"/>
  <c r="O106" i="2"/>
  <c r="G106" i="2"/>
  <c r="P106" i="2"/>
  <c r="H106" i="2"/>
  <c r="J106" i="2"/>
  <c r="N106" i="2"/>
  <c r="M106" i="2"/>
  <c r="L106" i="2"/>
  <c r="G98" i="2"/>
  <c r="O98" i="2"/>
  <c r="H98" i="2"/>
  <c r="P98" i="2"/>
  <c r="I98" i="2"/>
  <c r="J98" i="2"/>
  <c r="K98" i="2"/>
  <c r="L98" i="2"/>
  <c r="M98" i="2"/>
  <c r="N98" i="2"/>
  <c r="G90" i="2"/>
  <c r="O90" i="2"/>
  <c r="H90" i="2"/>
  <c r="P90" i="2"/>
  <c r="I90" i="2"/>
  <c r="J90" i="2"/>
  <c r="K90" i="2"/>
  <c r="L90" i="2"/>
  <c r="M90" i="2"/>
  <c r="N90" i="2"/>
  <c r="G82" i="2"/>
  <c r="O82" i="2"/>
  <c r="H82" i="2"/>
  <c r="P82" i="2"/>
  <c r="I82" i="2"/>
  <c r="J82" i="2"/>
  <c r="K82" i="2"/>
  <c r="L82" i="2"/>
  <c r="N82" i="2"/>
  <c r="M82" i="2"/>
  <c r="G74" i="2"/>
  <c r="O74" i="2"/>
  <c r="H74" i="2"/>
  <c r="P74" i="2"/>
  <c r="I74" i="2"/>
  <c r="J74" i="2"/>
  <c r="K74" i="2"/>
  <c r="L74" i="2"/>
  <c r="M74" i="2"/>
  <c r="N74" i="2"/>
  <c r="G66" i="2"/>
  <c r="O66" i="2"/>
  <c r="H66" i="2"/>
  <c r="P66" i="2"/>
  <c r="I66" i="2"/>
  <c r="J66" i="2"/>
  <c r="K66" i="2"/>
  <c r="L66" i="2"/>
  <c r="N66" i="2"/>
  <c r="M66" i="2"/>
  <c r="G58" i="2"/>
  <c r="O58" i="2"/>
  <c r="H58" i="2"/>
  <c r="P58" i="2"/>
  <c r="I58" i="2"/>
  <c r="J58" i="2"/>
  <c r="K58" i="2"/>
  <c r="L58" i="2"/>
  <c r="M58" i="2"/>
  <c r="N58" i="2"/>
  <c r="G50" i="2"/>
  <c r="O50" i="2"/>
  <c r="H50" i="2"/>
  <c r="P50" i="2"/>
  <c r="I50" i="2"/>
  <c r="J50" i="2"/>
  <c r="K50" i="2"/>
  <c r="L50" i="2"/>
  <c r="M50" i="2"/>
  <c r="N50" i="2"/>
  <c r="K42" i="2"/>
  <c r="L42" i="2"/>
  <c r="N42" i="2"/>
  <c r="G42" i="2"/>
  <c r="O42" i="2"/>
  <c r="H42" i="2"/>
  <c r="P42" i="2"/>
  <c r="J42" i="2"/>
  <c r="I42" i="2"/>
  <c r="M42" i="2"/>
  <c r="K34" i="2"/>
  <c r="L34" i="2"/>
  <c r="M34" i="2"/>
  <c r="N34" i="2"/>
  <c r="G34" i="2"/>
  <c r="O34" i="2"/>
  <c r="H34" i="2"/>
  <c r="P34" i="2"/>
  <c r="J34" i="2"/>
  <c r="I34" i="2"/>
  <c r="K26" i="2"/>
  <c r="L26" i="2"/>
  <c r="M26" i="2"/>
  <c r="N26" i="2"/>
  <c r="G26" i="2"/>
  <c r="O26" i="2"/>
  <c r="H26" i="2"/>
  <c r="P26" i="2"/>
  <c r="J26" i="2"/>
  <c r="I26" i="2"/>
  <c r="K18" i="2"/>
  <c r="L18" i="2"/>
  <c r="M18" i="2"/>
  <c r="N18" i="2"/>
  <c r="G18" i="2"/>
  <c r="O18" i="2"/>
  <c r="H18" i="2"/>
  <c r="P18" i="2"/>
  <c r="J18" i="2"/>
  <c r="I18" i="2"/>
  <c r="K10" i="2"/>
  <c r="L10" i="2"/>
  <c r="M10" i="2"/>
  <c r="N10" i="2"/>
  <c r="G10" i="2"/>
  <c r="O10" i="2"/>
  <c r="H10" i="2"/>
  <c r="P10" i="2"/>
  <c r="J10" i="2"/>
  <c r="I10" i="2"/>
  <c r="F365" i="2"/>
  <c r="F357" i="2"/>
  <c r="F349" i="2"/>
  <c r="F341" i="2"/>
  <c r="F333" i="2"/>
  <c r="F325" i="2"/>
  <c r="F317" i="2"/>
  <c r="F309" i="2"/>
  <c r="F301" i="2"/>
  <c r="F293" i="2"/>
  <c r="F285" i="2"/>
  <c r="F277" i="2"/>
  <c r="F269" i="2"/>
  <c r="F261" i="2"/>
  <c r="F253" i="2"/>
  <c r="F245" i="2"/>
  <c r="F237" i="2"/>
  <c r="F229" i="2"/>
  <c r="F221" i="2"/>
  <c r="F213" i="2"/>
  <c r="F205" i="2"/>
  <c r="F197" i="2"/>
  <c r="F189" i="2"/>
  <c r="F181" i="2"/>
  <c r="F173" i="2"/>
  <c r="F165" i="2"/>
  <c r="F157" i="2"/>
  <c r="F149" i="2"/>
  <c r="F141" i="2"/>
  <c r="F133" i="2"/>
  <c r="F125" i="2"/>
  <c r="F117" i="2"/>
  <c r="F109" i="2"/>
  <c r="F101" i="2"/>
  <c r="F93" i="2"/>
  <c r="F85" i="2"/>
  <c r="F77" i="2"/>
  <c r="F69" i="2"/>
  <c r="F61" i="2"/>
  <c r="F53" i="2"/>
  <c r="F45" i="2"/>
  <c r="F37" i="2"/>
  <c r="F29" i="2"/>
  <c r="F21" i="2"/>
  <c r="F13" i="2"/>
  <c r="F5" i="2"/>
  <c r="K2" i="2"/>
  <c r="N365" i="2"/>
  <c r="P364" i="2"/>
  <c r="H364" i="2"/>
  <c r="J363" i="2"/>
  <c r="L362" i="2"/>
  <c r="N361" i="2"/>
  <c r="P360" i="2"/>
  <c r="H360" i="2"/>
  <c r="J359" i="2"/>
  <c r="L358" i="2"/>
  <c r="N357" i="2"/>
  <c r="P356" i="2"/>
  <c r="H356" i="2"/>
  <c r="J355" i="2"/>
  <c r="L354" i="2"/>
  <c r="N353" i="2"/>
  <c r="P352" i="2"/>
  <c r="H352" i="2"/>
  <c r="J351" i="2"/>
  <c r="L350" i="2"/>
  <c r="N349" i="2"/>
  <c r="O348" i="2"/>
  <c r="K347" i="2"/>
  <c r="J343" i="2"/>
  <c r="G341" i="2"/>
  <c r="N338" i="2"/>
  <c r="P336" i="2"/>
  <c r="J332" i="2"/>
  <c r="L330" i="2"/>
  <c r="I328" i="2"/>
  <c r="P325" i="2"/>
  <c r="H324" i="2"/>
  <c r="L319" i="2"/>
  <c r="N317" i="2"/>
  <c r="K315" i="2"/>
  <c r="J311" i="2"/>
  <c r="G309" i="2"/>
  <c r="L306" i="2"/>
  <c r="J303" i="2"/>
  <c r="H300" i="2"/>
  <c r="P296" i="2"/>
  <c r="N293" i="2"/>
  <c r="L290" i="2"/>
  <c r="J287" i="2"/>
  <c r="H284" i="2"/>
  <c r="P280" i="2"/>
  <c r="N277" i="2"/>
  <c r="L274" i="2"/>
  <c r="J271" i="2"/>
  <c r="H268" i="2"/>
  <c r="M264" i="2"/>
  <c r="K260" i="2"/>
  <c r="M247" i="2"/>
  <c r="O234" i="2"/>
  <c r="K228" i="2"/>
  <c r="H221" i="2"/>
  <c r="K212" i="2"/>
  <c r="I204" i="2"/>
  <c r="L195" i="2"/>
  <c r="O186" i="2"/>
  <c r="M178" i="2"/>
  <c r="H140" i="2"/>
  <c r="M327" i="2"/>
  <c r="N327" i="2"/>
  <c r="G327" i="2"/>
  <c r="O327" i="2"/>
  <c r="H327" i="2"/>
  <c r="P327" i="2"/>
  <c r="I327" i="2"/>
  <c r="M279" i="2"/>
  <c r="N279" i="2"/>
  <c r="G279" i="2"/>
  <c r="O279" i="2"/>
  <c r="H279" i="2"/>
  <c r="P279" i="2"/>
  <c r="I279" i="2"/>
  <c r="L279" i="2"/>
  <c r="N231" i="2"/>
  <c r="G231" i="2"/>
  <c r="O231" i="2"/>
  <c r="H231" i="2"/>
  <c r="P231" i="2"/>
  <c r="I231" i="2"/>
  <c r="J231" i="2"/>
  <c r="K231" i="2"/>
  <c r="L231" i="2"/>
  <c r="N191" i="2"/>
  <c r="G191" i="2"/>
  <c r="O191" i="2"/>
  <c r="H191" i="2"/>
  <c r="P191" i="2"/>
  <c r="I191" i="2"/>
  <c r="J191" i="2"/>
  <c r="M191" i="2"/>
  <c r="M135" i="2"/>
  <c r="N135" i="2"/>
  <c r="G135" i="2"/>
  <c r="O135" i="2"/>
  <c r="H135" i="2"/>
  <c r="P135" i="2"/>
  <c r="L135" i="2"/>
  <c r="I135" i="2"/>
  <c r="J135" i="2"/>
  <c r="K135" i="2"/>
  <c r="M95" i="2"/>
  <c r="N95" i="2"/>
  <c r="G95" i="2"/>
  <c r="O95" i="2"/>
  <c r="H95" i="2"/>
  <c r="P95" i="2"/>
  <c r="I95" i="2"/>
  <c r="J95" i="2"/>
  <c r="K95" i="2"/>
  <c r="L95" i="2"/>
  <c r="I39" i="2"/>
  <c r="J39" i="2"/>
  <c r="K39" i="2"/>
  <c r="L39" i="2"/>
  <c r="M39" i="2"/>
  <c r="N39" i="2"/>
  <c r="H39" i="2"/>
  <c r="P39" i="2"/>
  <c r="G39" i="2"/>
  <c r="O39" i="2"/>
  <c r="O359" i="2"/>
  <c r="G334" i="2"/>
  <c r="O334" i="2"/>
  <c r="H334" i="2"/>
  <c r="P334" i="2"/>
  <c r="I334" i="2"/>
  <c r="J334" i="2"/>
  <c r="K334" i="2"/>
  <c r="G302" i="2"/>
  <c r="O302" i="2"/>
  <c r="H302" i="2"/>
  <c r="P302" i="2"/>
  <c r="I302" i="2"/>
  <c r="J302" i="2"/>
  <c r="K302" i="2"/>
  <c r="N302" i="2"/>
  <c r="H254" i="2"/>
  <c r="P254" i="2"/>
  <c r="I254" i="2"/>
  <c r="J254" i="2"/>
  <c r="K254" i="2"/>
  <c r="N254" i="2"/>
  <c r="O254" i="2"/>
  <c r="M254" i="2"/>
  <c r="H206" i="2"/>
  <c r="P206" i="2"/>
  <c r="I206" i="2"/>
  <c r="J206" i="2"/>
  <c r="K206" i="2"/>
  <c r="L206" i="2"/>
  <c r="O206" i="2"/>
  <c r="N206" i="2"/>
  <c r="H166" i="2"/>
  <c r="P166" i="2"/>
  <c r="I166" i="2"/>
  <c r="J166" i="2"/>
  <c r="K166" i="2"/>
  <c r="L166" i="2"/>
  <c r="M166" i="2"/>
  <c r="N166" i="2"/>
  <c r="O166" i="2"/>
  <c r="G166" i="2"/>
  <c r="G102" i="2"/>
  <c r="O102" i="2"/>
  <c r="H102" i="2"/>
  <c r="P102" i="2"/>
  <c r="I102" i="2"/>
  <c r="J102" i="2"/>
  <c r="K102" i="2"/>
  <c r="L102" i="2"/>
  <c r="N102" i="2"/>
  <c r="M102" i="2"/>
  <c r="G62" i="2"/>
  <c r="O62" i="2"/>
  <c r="H62" i="2"/>
  <c r="P62" i="2"/>
  <c r="I62" i="2"/>
  <c r="J62" i="2"/>
  <c r="K62" i="2"/>
  <c r="L62" i="2"/>
  <c r="M62" i="2"/>
  <c r="N62" i="2"/>
  <c r="K38" i="2"/>
  <c r="L38" i="2"/>
  <c r="M38" i="2"/>
  <c r="N38" i="2"/>
  <c r="G38" i="2"/>
  <c r="O38" i="2"/>
  <c r="H38" i="2"/>
  <c r="P38" i="2"/>
  <c r="J38" i="2"/>
  <c r="I38" i="2"/>
  <c r="P350" i="2"/>
  <c r="I345" i="2"/>
  <c r="J345" i="2"/>
  <c r="K345" i="2"/>
  <c r="L345" i="2"/>
  <c r="M345" i="2"/>
  <c r="I337" i="2"/>
  <c r="J337" i="2"/>
  <c r="K337" i="2"/>
  <c r="L337" i="2"/>
  <c r="M337" i="2"/>
  <c r="I329" i="2"/>
  <c r="J329" i="2"/>
  <c r="K329" i="2"/>
  <c r="L329" i="2"/>
  <c r="M329" i="2"/>
  <c r="I321" i="2"/>
  <c r="J321" i="2"/>
  <c r="K321" i="2"/>
  <c r="L321" i="2"/>
  <c r="M321" i="2"/>
  <c r="I313" i="2"/>
  <c r="J313" i="2"/>
  <c r="K313" i="2"/>
  <c r="L313" i="2"/>
  <c r="M313" i="2"/>
  <c r="I305" i="2"/>
  <c r="J305" i="2"/>
  <c r="K305" i="2"/>
  <c r="L305" i="2"/>
  <c r="M305" i="2"/>
  <c r="H305" i="2"/>
  <c r="P305" i="2"/>
  <c r="I297" i="2"/>
  <c r="J297" i="2"/>
  <c r="K297" i="2"/>
  <c r="L297" i="2"/>
  <c r="M297" i="2"/>
  <c r="H297" i="2"/>
  <c r="P297" i="2"/>
  <c r="I289" i="2"/>
  <c r="J289" i="2"/>
  <c r="K289" i="2"/>
  <c r="L289" i="2"/>
  <c r="M289" i="2"/>
  <c r="H289" i="2"/>
  <c r="P289" i="2"/>
  <c r="I281" i="2"/>
  <c r="J281" i="2"/>
  <c r="K281" i="2"/>
  <c r="L281" i="2"/>
  <c r="M281" i="2"/>
  <c r="H281" i="2"/>
  <c r="P281" i="2"/>
  <c r="I273" i="2"/>
  <c r="J273" i="2"/>
  <c r="K273" i="2"/>
  <c r="L273" i="2"/>
  <c r="M273" i="2"/>
  <c r="H273" i="2"/>
  <c r="P273" i="2"/>
  <c r="J265" i="2"/>
  <c r="O265" i="2"/>
  <c r="G265" i="2"/>
  <c r="P265" i="2"/>
  <c r="H265" i="2"/>
  <c r="I265" i="2"/>
  <c r="K265" i="2"/>
  <c r="N265" i="2"/>
  <c r="J257" i="2"/>
  <c r="K257" i="2"/>
  <c r="L257" i="2"/>
  <c r="M257" i="2"/>
  <c r="P257" i="2"/>
  <c r="G257" i="2"/>
  <c r="H257" i="2"/>
  <c r="O257" i="2"/>
  <c r="J249" i="2"/>
  <c r="K249" i="2"/>
  <c r="L249" i="2"/>
  <c r="M249" i="2"/>
  <c r="P249" i="2"/>
  <c r="G249" i="2"/>
  <c r="H249" i="2"/>
  <c r="O249" i="2"/>
  <c r="J241" i="2"/>
  <c r="K241" i="2"/>
  <c r="L241" i="2"/>
  <c r="M241" i="2"/>
  <c r="P241" i="2"/>
  <c r="G241" i="2"/>
  <c r="H241" i="2"/>
  <c r="O241" i="2"/>
  <c r="J233" i="2"/>
  <c r="K233" i="2"/>
  <c r="L233" i="2"/>
  <c r="M233" i="2"/>
  <c r="P233" i="2"/>
  <c r="G233" i="2"/>
  <c r="H233" i="2"/>
  <c r="O233" i="2"/>
  <c r="J225" i="2"/>
  <c r="K225" i="2"/>
  <c r="L225" i="2"/>
  <c r="M225" i="2"/>
  <c r="P225" i="2"/>
  <c r="G225" i="2"/>
  <c r="H225" i="2"/>
  <c r="O225" i="2"/>
  <c r="J217" i="2"/>
  <c r="K217" i="2"/>
  <c r="L217" i="2"/>
  <c r="M217" i="2"/>
  <c r="N217" i="2"/>
  <c r="O217" i="2"/>
  <c r="P217" i="2"/>
  <c r="I217" i="2"/>
  <c r="J209" i="2"/>
  <c r="K209" i="2"/>
  <c r="L209" i="2"/>
  <c r="M209" i="2"/>
  <c r="N209" i="2"/>
  <c r="H209" i="2"/>
  <c r="I209" i="2"/>
  <c r="O209" i="2"/>
  <c r="P209" i="2"/>
  <c r="G209" i="2"/>
  <c r="J201" i="2"/>
  <c r="K201" i="2"/>
  <c r="L201" i="2"/>
  <c r="M201" i="2"/>
  <c r="N201" i="2"/>
  <c r="G201" i="2"/>
  <c r="H201" i="2"/>
  <c r="I201" i="2"/>
  <c r="O201" i="2"/>
  <c r="J193" i="2"/>
  <c r="K193" i="2"/>
  <c r="L193" i="2"/>
  <c r="M193" i="2"/>
  <c r="N193" i="2"/>
  <c r="G193" i="2"/>
  <c r="H193" i="2"/>
  <c r="P193" i="2"/>
  <c r="J185" i="2"/>
  <c r="K185" i="2"/>
  <c r="L185" i="2"/>
  <c r="M185" i="2"/>
  <c r="N185" i="2"/>
  <c r="O185" i="2"/>
  <c r="P185" i="2"/>
  <c r="I185" i="2"/>
  <c r="J177" i="2"/>
  <c r="K177" i="2"/>
  <c r="L177" i="2"/>
  <c r="M177" i="2"/>
  <c r="N177" i="2"/>
  <c r="H177" i="2"/>
  <c r="I177" i="2"/>
  <c r="O177" i="2"/>
  <c r="P177" i="2"/>
  <c r="G177" i="2"/>
  <c r="J169" i="2"/>
  <c r="K169" i="2"/>
  <c r="L169" i="2"/>
  <c r="M169" i="2"/>
  <c r="N169" i="2"/>
  <c r="G169" i="2"/>
  <c r="H169" i="2"/>
  <c r="I169" i="2"/>
  <c r="O169" i="2"/>
  <c r="J161" i="2"/>
  <c r="K161" i="2"/>
  <c r="L161" i="2"/>
  <c r="M161" i="2"/>
  <c r="N161" i="2"/>
  <c r="G161" i="2"/>
  <c r="H161" i="2"/>
  <c r="P161" i="2"/>
  <c r="I153" i="2"/>
  <c r="J153" i="2"/>
  <c r="K153" i="2"/>
  <c r="L153" i="2"/>
  <c r="H153" i="2"/>
  <c r="P153" i="2"/>
  <c r="N153" i="2"/>
  <c r="O153" i="2"/>
  <c r="M153" i="2"/>
  <c r="G153" i="2"/>
  <c r="I145" i="2"/>
  <c r="J145" i="2"/>
  <c r="K145" i="2"/>
  <c r="L145" i="2"/>
  <c r="H145" i="2"/>
  <c r="P145" i="2"/>
  <c r="G145" i="2"/>
  <c r="M145" i="2"/>
  <c r="N145" i="2"/>
  <c r="O145" i="2"/>
  <c r="I137" i="2"/>
  <c r="J137" i="2"/>
  <c r="K137" i="2"/>
  <c r="L137" i="2"/>
  <c r="H137" i="2"/>
  <c r="P137" i="2"/>
  <c r="G137" i="2"/>
  <c r="M137" i="2"/>
  <c r="N137" i="2"/>
  <c r="O137" i="2"/>
  <c r="I129" i="2"/>
  <c r="J129" i="2"/>
  <c r="K129" i="2"/>
  <c r="L129" i="2"/>
  <c r="H129" i="2"/>
  <c r="P129" i="2"/>
  <c r="G129" i="2"/>
  <c r="O129" i="2"/>
  <c r="M129" i="2"/>
  <c r="N129" i="2"/>
  <c r="I121" i="2"/>
  <c r="J121" i="2"/>
  <c r="K121" i="2"/>
  <c r="L121" i="2"/>
  <c r="H121" i="2"/>
  <c r="P121" i="2"/>
  <c r="N121" i="2"/>
  <c r="O121" i="2"/>
  <c r="M121" i="2"/>
  <c r="G121" i="2"/>
  <c r="I113" i="2"/>
  <c r="J113" i="2"/>
  <c r="K113" i="2"/>
  <c r="L113" i="2"/>
  <c r="H113" i="2"/>
  <c r="P113" i="2"/>
  <c r="G113" i="2"/>
  <c r="M113" i="2"/>
  <c r="N113" i="2"/>
  <c r="O113" i="2"/>
  <c r="I105" i="2"/>
  <c r="K105" i="2"/>
  <c r="L105" i="2"/>
  <c r="M105" i="2"/>
  <c r="N105" i="2"/>
  <c r="P105" i="2"/>
  <c r="O105" i="2"/>
  <c r="G105" i="2"/>
  <c r="H105" i="2"/>
  <c r="I97" i="2"/>
  <c r="J97" i="2"/>
  <c r="K97" i="2"/>
  <c r="L97" i="2"/>
  <c r="M97" i="2"/>
  <c r="N97" i="2"/>
  <c r="G97" i="2"/>
  <c r="H97" i="2"/>
  <c r="O97" i="2"/>
  <c r="P97" i="2"/>
  <c r="I89" i="2"/>
  <c r="J89" i="2"/>
  <c r="K89" i="2"/>
  <c r="L89" i="2"/>
  <c r="M89" i="2"/>
  <c r="N89" i="2"/>
  <c r="P89" i="2"/>
  <c r="G89" i="2"/>
  <c r="H89" i="2"/>
  <c r="O89" i="2"/>
  <c r="I81" i="2"/>
  <c r="J81" i="2"/>
  <c r="K81" i="2"/>
  <c r="L81" i="2"/>
  <c r="M81" i="2"/>
  <c r="N81" i="2"/>
  <c r="G81" i="2"/>
  <c r="H81" i="2"/>
  <c r="O81" i="2"/>
  <c r="P81" i="2"/>
  <c r="I73" i="2"/>
  <c r="J73" i="2"/>
  <c r="K73" i="2"/>
  <c r="L73" i="2"/>
  <c r="M73" i="2"/>
  <c r="N73" i="2"/>
  <c r="P73" i="2"/>
  <c r="O73" i="2"/>
  <c r="I65" i="2"/>
  <c r="J65" i="2"/>
  <c r="K65" i="2"/>
  <c r="L65" i="2"/>
  <c r="M65" i="2"/>
  <c r="N65" i="2"/>
  <c r="G65" i="2"/>
  <c r="H65" i="2"/>
  <c r="O65" i="2"/>
  <c r="P65" i="2"/>
  <c r="I57" i="2"/>
  <c r="J57" i="2"/>
  <c r="K57" i="2"/>
  <c r="L57" i="2"/>
  <c r="M57" i="2"/>
  <c r="N57" i="2"/>
  <c r="P57" i="2"/>
  <c r="O57" i="2"/>
  <c r="H57" i="2"/>
  <c r="G57" i="2"/>
  <c r="I49" i="2"/>
  <c r="J49" i="2"/>
  <c r="K49" i="2"/>
  <c r="L49" i="2"/>
  <c r="M49" i="2"/>
  <c r="N49" i="2"/>
  <c r="G49" i="2"/>
  <c r="H49" i="2"/>
  <c r="O49" i="2"/>
  <c r="P49" i="2"/>
  <c r="M41" i="2"/>
  <c r="N41" i="2"/>
  <c r="G41" i="2"/>
  <c r="H41" i="2"/>
  <c r="P41" i="2"/>
  <c r="I41" i="2"/>
  <c r="J41" i="2"/>
  <c r="L41" i="2"/>
  <c r="O41" i="2"/>
  <c r="K41" i="2"/>
  <c r="M33" i="2"/>
  <c r="N33" i="2"/>
  <c r="G33" i="2"/>
  <c r="O33" i="2"/>
  <c r="H33" i="2"/>
  <c r="P33" i="2"/>
  <c r="I33" i="2"/>
  <c r="J33" i="2"/>
  <c r="L33" i="2"/>
  <c r="K33" i="2"/>
  <c r="M25" i="2"/>
  <c r="N25" i="2"/>
  <c r="G25" i="2"/>
  <c r="O25" i="2"/>
  <c r="H25" i="2"/>
  <c r="P25" i="2"/>
  <c r="I25" i="2"/>
  <c r="J25" i="2"/>
  <c r="L25" i="2"/>
  <c r="K25" i="2"/>
  <c r="M17" i="2"/>
  <c r="N17" i="2"/>
  <c r="G17" i="2"/>
  <c r="O17" i="2"/>
  <c r="H17" i="2"/>
  <c r="P17" i="2"/>
  <c r="I17" i="2"/>
  <c r="J17" i="2"/>
  <c r="L17" i="2"/>
  <c r="K17" i="2"/>
  <c r="M9" i="2"/>
  <c r="N9" i="2"/>
  <c r="G9" i="2"/>
  <c r="O9" i="2"/>
  <c r="H9" i="2"/>
  <c r="P9" i="2"/>
  <c r="I9" i="2"/>
  <c r="J9" i="2"/>
  <c r="L9" i="2"/>
  <c r="K9" i="2"/>
  <c r="F364" i="2"/>
  <c r="F356" i="2"/>
  <c r="F348" i="2"/>
  <c r="F340" i="2"/>
  <c r="F332" i="2"/>
  <c r="F324" i="2"/>
  <c r="F316" i="2"/>
  <c r="F308" i="2"/>
  <c r="F300" i="2"/>
  <c r="F292" i="2"/>
  <c r="F284" i="2"/>
  <c r="F276" i="2"/>
  <c r="F268" i="2"/>
  <c r="F260" i="2"/>
  <c r="F252" i="2"/>
  <c r="F244" i="2"/>
  <c r="F236" i="2"/>
  <c r="F228" i="2"/>
  <c r="F220" i="2"/>
  <c r="F212" i="2"/>
  <c r="F204" i="2"/>
  <c r="F196" i="2"/>
  <c r="F188" i="2"/>
  <c r="F180" i="2"/>
  <c r="F172" i="2"/>
  <c r="F164" i="2"/>
  <c r="F156" i="2"/>
  <c r="F148" i="2"/>
  <c r="F140" i="2"/>
  <c r="F132" i="2"/>
  <c r="F124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4" i="2"/>
  <c r="O364" i="2"/>
  <c r="O360" i="2"/>
  <c r="O356" i="2"/>
  <c r="O352" i="2"/>
  <c r="M349" i="2"/>
  <c r="N348" i="2"/>
  <c r="J347" i="2"/>
  <c r="G345" i="2"/>
  <c r="N342" i="2"/>
  <c r="P340" i="2"/>
  <c r="M338" i="2"/>
  <c r="J336" i="2"/>
  <c r="L334" i="2"/>
  <c r="I332" i="2"/>
  <c r="P329" i="2"/>
  <c r="H328" i="2"/>
  <c r="O325" i="2"/>
  <c r="L323" i="2"/>
  <c r="N321" i="2"/>
  <c r="K319" i="2"/>
  <c r="H317" i="2"/>
  <c r="J315" i="2"/>
  <c r="G313" i="2"/>
  <c r="N310" i="2"/>
  <c r="P308" i="2"/>
  <c r="O305" i="2"/>
  <c r="M302" i="2"/>
  <c r="K299" i="2"/>
  <c r="I296" i="2"/>
  <c r="G293" i="2"/>
  <c r="O289" i="2"/>
  <c r="M286" i="2"/>
  <c r="K283" i="2"/>
  <c r="I280" i="2"/>
  <c r="G277" i="2"/>
  <c r="O273" i="2"/>
  <c r="M270" i="2"/>
  <c r="K267" i="2"/>
  <c r="O263" i="2"/>
  <c r="J259" i="2"/>
  <c r="P252" i="2"/>
  <c r="L246" i="2"/>
  <c r="H240" i="2"/>
  <c r="N233" i="2"/>
  <c r="J227" i="2"/>
  <c r="K219" i="2"/>
  <c r="N210" i="2"/>
  <c r="G202" i="2"/>
  <c r="O193" i="2"/>
  <c r="H185" i="2"/>
  <c r="K176" i="2"/>
  <c r="I168" i="2"/>
  <c r="L159" i="2"/>
  <c r="G132" i="2"/>
  <c r="H73" i="2"/>
  <c r="G525" i="2"/>
  <c r="M525" i="2"/>
  <c r="K525" i="2"/>
  <c r="F494" i="2"/>
  <c r="L494" i="2"/>
  <c r="N494" i="2"/>
  <c r="P494" i="2"/>
  <c r="H494" i="2"/>
  <c r="F490" i="2"/>
  <c r="N490" i="2"/>
  <c r="P490" i="2"/>
  <c r="H490" i="2"/>
  <c r="K422" i="2"/>
  <c r="M422" i="2"/>
  <c r="I422" i="2"/>
  <c r="M466" i="2"/>
  <c r="O466" i="2"/>
  <c r="G466" i="2"/>
  <c r="J524" i="2"/>
  <c r="I524" i="2"/>
  <c r="L524" i="2"/>
  <c r="O524" i="2"/>
  <c r="P524" i="2"/>
  <c r="G524" i="2"/>
  <c r="G532" i="2"/>
  <c r="M532" i="2"/>
  <c r="O532" i="2"/>
  <c r="L532" i="2"/>
  <c r="G478" i="2"/>
  <c r="P478" i="2"/>
  <c r="K471" i="2"/>
  <c r="G471" i="2"/>
  <c r="H471" i="2"/>
  <c r="I471" i="2"/>
  <c r="J471" i="2"/>
  <c r="M471" i="2"/>
  <c r="N471" i="2"/>
  <c r="F471" i="2"/>
  <c r="P471" i="2"/>
  <c r="K455" i="2"/>
  <c r="G455" i="2"/>
  <c r="H455" i="2"/>
  <c r="I455" i="2"/>
  <c r="J455" i="2"/>
  <c r="M455" i="2"/>
  <c r="N455" i="2"/>
  <c r="F455" i="2"/>
  <c r="P455" i="2"/>
  <c r="J415" i="2"/>
  <c r="K415" i="2"/>
  <c r="L415" i="2"/>
  <c r="I415" i="2"/>
  <c r="J464" i="2"/>
  <c r="K464" i="2"/>
  <c r="L464" i="2"/>
  <c r="I464" i="2"/>
  <c r="H498" i="2"/>
  <c r="P495" i="2"/>
  <c r="G487" i="2"/>
  <c r="G483" i="2"/>
  <c r="I467" i="2"/>
  <c r="I463" i="2"/>
  <c r="H462" i="2"/>
  <c r="M458" i="2"/>
  <c r="J451" i="2"/>
  <c r="K445" i="2"/>
  <c r="I444" i="2"/>
  <c r="K429" i="2"/>
  <c r="K425" i="2"/>
  <c r="I402" i="2"/>
  <c r="K527" i="2"/>
  <c r="K522" i="2"/>
  <c r="F518" i="2"/>
  <c r="N499" i="2"/>
  <c r="H495" i="2"/>
  <c r="O479" i="2"/>
  <c r="G474" i="2"/>
  <c r="G467" i="2"/>
  <c r="G463" i="2"/>
  <c r="G458" i="2"/>
  <c r="H451" i="2"/>
  <c r="O448" i="2"/>
  <c r="G445" i="2"/>
  <c r="K442" i="2"/>
  <c r="K431" i="2"/>
  <c r="G429" i="2"/>
  <c r="M426" i="2"/>
  <c r="G419" i="2"/>
  <c r="M416" i="2"/>
  <c r="P414" i="2"/>
  <c r="O398" i="2"/>
  <c r="J387" i="2"/>
  <c r="J375" i="2"/>
  <c r="J527" i="2"/>
  <c r="P523" i="2"/>
  <c r="J499" i="2"/>
  <c r="G495" i="2"/>
  <c r="O487" i="2"/>
  <c r="P486" i="2"/>
  <c r="N479" i="2"/>
  <c r="P467" i="2"/>
  <c r="F467" i="2"/>
  <c r="N465" i="2"/>
  <c r="F463" i="2"/>
  <c r="F458" i="2"/>
  <c r="L456" i="2"/>
  <c r="G451" i="2"/>
  <c r="J448" i="2"/>
  <c r="O446" i="2"/>
  <c r="G442" i="2"/>
  <c r="K426" i="2"/>
  <c r="I414" i="2"/>
  <c r="K407" i="2"/>
  <c r="I398" i="2"/>
  <c r="J391" i="2"/>
  <c r="I367" i="2"/>
  <c r="N523" i="2"/>
  <c r="M493" i="2"/>
  <c r="J491" i="2"/>
  <c r="N487" i="2"/>
  <c r="N486" i="2"/>
  <c r="P483" i="2"/>
  <c r="I479" i="2"/>
  <c r="N477" i="2"/>
  <c r="N475" i="2"/>
  <c r="O470" i="2"/>
  <c r="K456" i="2"/>
  <c r="O454" i="2"/>
  <c r="I448" i="2"/>
  <c r="K446" i="2"/>
  <c r="M443" i="2"/>
  <c r="M438" i="2"/>
  <c r="O435" i="2"/>
  <c r="O432" i="2"/>
  <c r="I428" i="2"/>
  <c r="H414" i="2"/>
  <c r="O410" i="2"/>
  <c r="J407" i="2"/>
  <c r="H398" i="2"/>
  <c r="N517" i="2"/>
  <c r="J515" i="2"/>
  <c r="O510" i="2"/>
  <c r="N507" i="2"/>
  <c r="P500" i="2"/>
  <c r="O498" i="2"/>
  <c r="L493" i="2"/>
  <c r="O483" i="2"/>
  <c r="H479" i="2"/>
  <c r="K477" i="2"/>
  <c r="G470" i="2"/>
  <c r="N467" i="2"/>
  <c r="L461" i="2"/>
  <c r="P458" i="2"/>
  <c r="I456" i="2"/>
  <c r="H454" i="2"/>
  <c r="P451" i="2"/>
  <c r="G448" i="2"/>
  <c r="O444" i="2"/>
  <c r="K443" i="2"/>
  <c r="K438" i="2"/>
  <c r="M435" i="2"/>
  <c r="M432" i="2"/>
  <c r="G414" i="2"/>
  <c r="G386" i="2"/>
  <c r="P374" i="2"/>
  <c r="P370" i="2"/>
  <c r="I515" i="2"/>
  <c r="J507" i="2"/>
  <c r="J500" i="2"/>
  <c r="N498" i="2"/>
  <c r="J493" i="2"/>
  <c r="L488" i="2"/>
  <c r="I487" i="2"/>
  <c r="L481" i="2"/>
  <c r="F479" i="2"/>
  <c r="H475" i="2"/>
  <c r="M467" i="2"/>
  <c r="O451" i="2"/>
  <c r="M444" i="2"/>
  <c r="K435" i="2"/>
  <c r="O374" i="2"/>
  <c r="O370" i="2"/>
  <c r="F523" i="2"/>
  <c r="H500" i="2"/>
  <c r="J467" i="2"/>
  <c r="J463" i="2"/>
  <c r="O402" i="2"/>
  <c r="H374" i="2"/>
  <c r="G370" i="2"/>
  <c r="M543" i="2"/>
  <c r="F543" i="2"/>
  <c r="N543" i="2"/>
  <c r="K543" i="2"/>
  <c r="G543" i="2"/>
  <c r="O543" i="2"/>
  <c r="H543" i="2"/>
  <c r="P543" i="2"/>
  <c r="I543" i="2"/>
  <c r="J543" i="2"/>
  <c r="L543" i="2"/>
  <c r="G521" i="2"/>
  <c r="O521" i="2"/>
  <c r="H521" i="2"/>
  <c r="P521" i="2"/>
  <c r="L521" i="2"/>
  <c r="N521" i="2"/>
  <c r="I521" i="2"/>
  <c r="K521" i="2"/>
  <c r="M521" i="2"/>
  <c r="J521" i="2"/>
  <c r="F521" i="2"/>
  <c r="G473" i="2"/>
  <c r="O473" i="2"/>
  <c r="H473" i="2"/>
  <c r="P473" i="2"/>
  <c r="I473" i="2"/>
  <c r="F473" i="2"/>
  <c r="J473" i="2"/>
  <c r="L473" i="2"/>
  <c r="M473" i="2"/>
  <c r="K473" i="2"/>
  <c r="N473" i="2"/>
  <c r="G548" i="2"/>
  <c r="O548" i="2"/>
  <c r="H548" i="2"/>
  <c r="P548" i="2"/>
  <c r="I548" i="2"/>
  <c r="J548" i="2"/>
  <c r="K548" i="2"/>
  <c r="L548" i="2"/>
  <c r="M548" i="2"/>
  <c r="F548" i="2"/>
  <c r="N548" i="2"/>
  <c r="J526" i="2"/>
  <c r="L526" i="2"/>
  <c r="G526" i="2"/>
  <c r="O526" i="2"/>
  <c r="N526" i="2"/>
  <c r="P526" i="2"/>
  <c r="F526" i="2"/>
  <c r="H526" i="2"/>
  <c r="K526" i="2"/>
  <c r="I526" i="2"/>
  <c r="M526" i="2"/>
  <c r="H529" i="2"/>
  <c r="P529" i="2"/>
  <c r="J529" i="2"/>
  <c r="M529" i="2"/>
  <c r="I529" i="2"/>
  <c r="K529" i="2"/>
  <c r="L529" i="2"/>
  <c r="N529" i="2"/>
  <c r="O529" i="2"/>
  <c r="G529" i="2"/>
  <c r="F529" i="2"/>
  <c r="K546" i="2"/>
  <c r="L546" i="2"/>
  <c r="M546" i="2"/>
  <c r="I546" i="2"/>
  <c r="F546" i="2"/>
  <c r="N546" i="2"/>
  <c r="G546" i="2"/>
  <c r="O546" i="2"/>
  <c r="H546" i="2"/>
  <c r="P546" i="2"/>
  <c r="J546" i="2"/>
  <c r="I541" i="2"/>
  <c r="G541" i="2"/>
  <c r="J541" i="2"/>
  <c r="K541" i="2"/>
  <c r="L541" i="2"/>
  <c r="M541" i="2"/>
  <c r="O541" i="2"/>
  <c r="F541" i="2"/>
  <c r="N541" i="2"/>
  <c r="H541" i="2"/>
  <c r="P541" i="2"/>
  <c r="G536" i="2"/>
  <c r="O536" i="2"/>
  <c r="H536" i="2"/>
  <c r="P536" i="2"/>
  <c r="I536" i="2"/>
  <c r="J536" i="2"/>
  <c r="K536" i="2"/>
  <c r="L536" i="2"/>
  <c r="F536" i="2"/>
  <c r="N536" i="2"/>
  <c r="M536" i="2"/>
  <c r="F528" i="2"/>
  <c r="N528" i="2"/>
  <c r="H528" i="2"/>
  <c r="P528" i="2"/>
  <c r="K528" i="2"/>
  <c r="J528" i="2"/>
  <c r="G528" i="2"/>
  <c r="L528" i="2"/>
  <c r="M528" i="2"/>
  <c r="O528" i="2"/>
  <c r="I528" i="2"/>
  <c r="I514" i="2"/>
  <c r="J514" i="2"/>
  <c r="F514" i="2"/>
  <c r="P514" i="2"/>
  <c r="H514" i="2"/>
  <c r="M514" i="2"/>
  <c r="L514" i="2"/>
  <c r="N514" i="2"/>
  <c r="O514" i="2"/>
  <c r="G514" i="2"/>
  <c r="K514" i="2"/>
  <c r="G469" i="2"/>
  <c r="O469" i="2"/>
  <c r="H469" i="2"/>
  <c r="P469" i="2"/>
  <c r="I469" i="2"/>
  <c r="F469" i="2"/>
  <c r="J469" i="2"/>
  <c r="L469" i="2"/>
  <c r="M469" i="2"/>
  <c r="N469" i="2"/>
  <c r="K469" i="2"/>
  <c r="M547" i="2"/>
  <c r="F547" i="2"/>
  <c r="N547" i="2"/>
  <c r="G547" i="2"/>
  <c r="O547" i="2"/>
  <c r="H547" i="2"/>
  <c r="P547" i="2"/>
  <c r="I547" i="2"/>
  <c r="K547" i="2"/>
  <c r="J547" i="2"/>
  <c r="L547" i="2"/>
  <c r="M535" i="2"/>
  <c r="F535" i="2"/>
  <c r="N535" i="2"/>
  <c r="G535" i="2"/>
  <c r="O535" i="2"/>
  <c r="K535" i="2"/>
  <c r="H535" i="2"/>
  <c r="P535" i="2"/>
  <c r="I535" i="2"/>
  <c r="J535" i="2"/>
  <c r="L535" i="2"/>
  <c r="I506" i="2"/>
  <c r="J506" i="2"/>
  <c r="N506" i="2"/>
  <c r="F506" i="2"/>
  <c r="P506" i="2"/>
  <c r="K506" i="2"/>
  <c r="M506" i="2"/>
  <c r="H506" i="2"/>
  <c r="O506" i="2"/>
  <c r="G506" i="2"/>
  <c r="L506" i="2"/>
  <c r="I502" i="2"/>
  <c r="J502" i="2"/>
  <c r="G502" i="2"/>
  <c r="K502" i="2"/>
  <c r="N502" i="2"/>
  <c r="F502" i="2"/>
  <c r="H502" i="2"/>
  <c r="L502" i="2"/>
  <c r="M502" i="2"/>
  <c r="O502" i="2"/>
  <c r="P502" i="2"/>
  <c r="K550" i="2"/>
  <c r="L550" i="2"/>
  <c r="M550" i="2"/>
  <c r="F550" i="2"/>
  <c r="N550" i="2"/>
  <c r="G550" i="2"/>
  <c r="O550" i="2"/>
  <c r="I550" i="2"/>
  <c r="H550" i="2"/>
  <c r="P550" i="2"/>
  <c r="J550" i="2"/>
  <c r="I545" i="2"/>
  <c r="J545" i="2"/>
  <c r="O545" i="2"/>
  <c r="K545" i="2"/>
  <c r="G545" i="2"/>
  <c r="L545" i="2"/>
  <c r="M545" i="2"/>
  <c r="F545" i="2"/>
  <c r="N545" i="2"/>
  <c r="H545" i="2"/>
  <c r="P545" i="2"/>
  <c r="G540" i="2"/>
  <c r="O540" i="2"/>
  <c r="H540" i="2"/>
  <c r="P540" i="2"/>
  <c r="M540" i="2"/>
  <c r="I540" i="2"/>
  <c r="J540" i="2"/>
  <c r="K540" i="2"/>
  <c r="L540" i="2"/>
  <c r="F540" i="2"/>
  <c r="N540" i="2"/>
  <c r="K534" i="2"/>
  <c r="L534" i="2"/>
  <c r="M534" i="2"/>
  <c r="F534" i="2"/>
  <c r="N534" i="2"/>
  <c r="G534" i="2"/>
  <c r="O534" i="2"/>
  <c r="H534" i="2"/>
  <c r="P534" i="2"/>
  <c r="J534" i="2"/>
  <c r="I534" i="2"/>
  <c r="G513" i="2"/>
  <c r="O513" i="2"/>
  <c r="H513" i="2"/>
  <c r="P513" i="2"/>
  <c r="J513" i="2"/>
  <c r="L513" i="2"/>
  <c r="K513" i="2"/>
  <c r="M513" i="2"/>
  <c r="N513" i="2"/>
  <c r="F513" i="2"/>
  <c r="I513" i="2"/>
  <c r="I537" i="2"/>
  <c r="O537" i="2"/>
  <c r="J537" i="2"/>
  <c r="K537" i="2"/>
  <c r="G537" i="2"/>
  <c r="L537" i="2"/>
  <c r="M537" i="2"/>
  <c r="F537" i="2"/>
  <c r="N537" i="2"/>
  <c r="H537" i="2"/>
  <c r="P537" i="2"/>
  <c r="M539" i="2"/>
  <c r="F539" i="2"/>
  <c r="N539" i="2"/>
  <c r="G539" i="2"/>
  <c r="O539" i="2"/>
  <c r="K539" i="2"/>
  <c r="H539" i="2"/>
  <c r="P539" i="2"/>
  <c r="I539" i="2"/>
  <c r="J539" i="2"/>
  <c r="L539" i="2"/>
  <c r="K542" i="2"/>
  <c r="L542" i="2"/>
  <c r="M542" i="2"/>
  <c r="I542" i="2"/>
  <c r="F542" i="2"/>
  <c r="N542" i="2"/>
  <c r="G542" i="2"/>
  <c r="O542" i="2"/>
  <c r="H542" i="2"/>
  <c r="P542" i="2"/>
  <c r="J542" i="2"/>
  <c r="I549" i="2"/>
  <c r="J549" i="2"/>
  <c r="O549" i="2"/>
  <c r="K549" i="2"/>
  <c r="G549" i="2"/>
  <c r="L549" i="2"/>
  <c r="M549" i="2"/>
  <c r="F549" i="2"/>
  <c r="N549" i="2"/>
  <c r="H549" i="2"/>
  <c r="P549" i="2"/>
  <c r="G544" i="2"/>
  <c r="O544" i="2"/>
  <c r="H544" i="2"/>
  <c r="P544" i="2"/>
  <c r="I544" i="2"/>
  <c r="J544" i="2"/>
  <c r="K544" i="2"/>
  <c r="M544" i="2"/>
  <c r="L544" i="2"/>
  <c r="F544" i="2"/>
  <c r="N544" i="2"/>
  <c r="K538" i="2"/>
  <c r="L538" i="2"/>
  <c r="M538" i="2"/>
  <c r="F538" i="2"/>
  <c r="N538" i="2"/>
  <c r="G538" i="2"/>
  <c r="O538" i="2"/>
  <c r="I538" i="2"/>
  <c r="H538" i="2"/>
  <c r="P538" i="2"/>
  <c r="J538" i="2"/>
  <c r="I533" i="2"/>
  <c r="J533" i="2"/>
  <c r="K533" i="2"/>
  <c r="L533" i="2"/>
  <c r="M533" i="2"/>
  <c r="O533" i="2"/>
  <c r="F533" i="2"/>
  <c r="N533" i="2"/>
  <c r="H533" i="2"/>
  <c r="P533" i="2"/>
  <c r="G533" i="2"/>
  <c r="L531" i="2"/>
  <c r="F531" i="2"/>
  <c r="N531" i="2"/>
  <c r="I531" i="2"/>
  <c r="G531" i="2"/>
  <c r="H531" i="2"/>
  <c r="J531" i="2"/>
  <c r="K531" i="2"/>
  <c r="M531" i="2"/>
  <c r="P531" i="2"/>
  <c r="O531" i="2"/>
  <c r="K511" i="2"/>
  <c r="L511" i="2"/>
  <c r="F511" i="2"/>
  <c r="P511" i="2"/>
  <c r="H511" i="2"/>
  <c r="M511" i="2"/>
  <c r="G511" i="2"/>
  <c r="I511" i="2"/>
  <c r="J511" i="2"/>
  <c r="N511" i="2"/>
  <c r="O511" i="2"/>
  <c r="M508" i="2"/>
  <c r="F508" i="2"/>
  <c r="N508" i="2"/>
  <c r="G508" i="2"/>
  <c r="I508" i="2"/>
  <c r="L508" i="2"/>
  <c r="H508" i="2"/>
  <c r="J508" i="2"/>
  <c r="K508" i="2"/>
  <c r="O508" i="2"/>
  <c r="P508" i="2"/>
  <c r="G497" i="2"/>
  <c r="O497" i="2"/>
  <c r="H497" i="2"/>
  <c r="P497" i="2"/>
  <c r="I497" i="2"/>
  <c r="F497" i="2"/>
  <c r="K497" i="2"/>
  <c r="N497" i="2"/>
  <c r="J497" i="2"/>
  <c r="L497" i="2"/>
  <c r="M497" i="2"/>
  <c r="M504" i="2"/>
  <c r="F504" i="2"/>
  <c r="N504" i="2"/>
  <c r="J504" i="2"/>
  <c r="L504" i="2"/>
  <c r="G504" i="2"/>
  <c r="F530" i="2"/>
  <c r="G520" i="2"/>
  <c r="K519" i="2"/>
  <c r="L519" i="2"/>
  <c r="H519" i="2"/>
  <c r="J519" i="2"/>
  <c r="O519" i="2"/>
  <c r="H504" i="2"/>
  <c r="K503" i="2"/>
  <c r="L503" i="2"/>
  <c r="N503" i="2"/>
  <c r="F503" i="2"/>
  <c r="P503" i="2"/>
  <c r="I503" i="2"/>
  <c r="M492" i="2"/>
  <c r="F492" i="2"/>
  <c r="N492" i="2"/>
  <c r="G492" i="2"/>
  <c r="O492" i="2"/>
  <c r="H492" i="2"/>
  <c r="K492" i="2"/>
  <c r="G485" i="2"/>
  <c r="O485" i="2"/>
  <c r="H485" i="2"/>
  <c r="P485" i="2"/>
  <c r="I485" i="2"/>
  <c r="J485" i="2"/>
  <c r="K485" i="2"/>
  <c r="M485" i="2"/>
  <c r="N485" i="2"/>
  <c r="I482" i="2"/>
  <c r="J482" i="2"/>
  <c r="K482" i="2"/>
  <c r="L482" i="2"/>
  <c r="N482" i="2"/>
  <c r="O482" i="2"/>
  <c r="F482" i="2"/>
  <c r="G482" i="2"/>
  <c r="M460" i="2"/>
  <c r="F460" i="2"/>
  <c r="N460" i="2"/>
  <c r="G460" i="2"/>
  <c r="O460" i="2"/>
  <c r="H460" i="2"/>
  <c r="P460" i="2"/>
  <c r="I460" i="2"/>
  <c r="K460" i="2"/>
  <c r="L460" i="2"/>
  <c r="L423" i="2"/>
  <c r="F423" i="2"/>
  <c r="N423" i="2"/>
  <c r="H423" i="2"/>
  <c r="P423" i="2"/>
  <c r="I423" i="2"/>
  <c r="J423" i="2"/>
  <c r="G423" i="2"/>
  <c r="K423" i="2"/>
  <c r="M423" i="2"/>
  <c r="O423" i="2"/>
  <c r="F404" i="2"/>
  <c r="N404" i="2"/>
  <c r="G404" i="2"/>
  <c r="O404" i="2"/>
  <c r="H404" i="2"/>
  <c r="P404" i="2"/>
  <c r="I404" i="2"/>
  <c r="J404" i="2"/>
  <c r="K404" i="2"/>
  <c r="L404" i="2"/>
  <c r="M404" i="2"/>
  <c r="F400" i="2"/>
  <c r="N400" i="2"/>
  <c r="G400" i="2"/>
  <c r="O400" i="2"/>
  <c r="H400" i="2"/>
  <c r="P400" i="2"/>
  <c r="I400" i="2"/>
  <c r="J400" i="2"/>
  <c r="K400" i="2"/>
  <c r="L400" i="2"/>
  <c r="M400" i="2"/>
  <c r="M512" i="2"/>
  <c r="F512" i="2"/>
  <c r="N512" i="2"/>
  <c r="L512" i="2"/>
  <c r="P512" i="2"/>
  <c r="I512" i="2"/>
  <c r="G505" i="2"/>
  <c r="O505" i="2"/>
  <c r="H505" i="2"/>
  <c r="P505" i="2"/>
  <c r="F505" i="2"/>
  <c r="J505" i="2"/>
  <c r="M505" i="2"/>
  <c r="K532" i="2"/>
  <c r="P530" i="2"/>
  <c r="H527" i="2"/>
  <c r="J525" i="2"/>
  <c r="G522" i="2"/>
  <c r="P519" i="2"/>
  <c r="N518" i="2"/>
  <c r="M517" i="2"/>
  <c r="G515" i="2"/>
  <c r="N510" i="2"/>
  <c r="L509" i="2"/>
  <c r="H507" i="2"/>
  <c r="N501" i="2"/>
  <c r="H499" i="2"/>
  <c r="I498" i="2"/>
  <c r="J498" i="2"/>
  <c r="K498" i="2"/>
  <c r="P498" i="2"/>
  <c r="G498" i="2"/>
  <c r="M498" i="2"/>
  <c r="P496" i="2"/>
  <c r="G493" i="2"/>
  <c r="O493" i="2"/>
  <c r="H493" i="2"/>
  <c r="P493" i="2"/>
  <c r="I493" i="2"/>
  <c r="N493" i="2"/>
  <c r="K493" i="2"/>
  <c r="P491" i="2"/>
  <c r="L484" i="2"/>
  <c r="M478" i="2"/>
  <c r="G477" i="2"/>
  <c r="O477" i="2"/>
  <c r="H477" i="2"/>
  <c r="P477" i="2"/>
  <c r="I477" i="2"/>
  <c r="J477" i="2"/>
  <c r="L477" i="2"/>
  <c r="M477" i="2"/>
  <c r="G457" i="2"/>
  <c r="O457" i="2"/>
  <c r="H457" i="2"/>
  <c r="P457" i="2"/>
  <c r="I457" i="2"/>
  <c r="J457" i="2"/>
  <c r="F457" i="2"/>
  <c r="L457" i="2"/>
  <c r="M457" i="2"/>
  <c r="J532" i="2"/>
  <c r="N530" i="2"/>
  <c r="N519" i="2"/>
  <c r="L518" i="2"/>
  <c r="K517" i="2"/>
  <c r="L510" i="2"/>
  <c r="K509" i="2"/>
  <c r="O503" i="2"/>
  <c r="L501" i="2"/>
  <c r="L496" i="2"/>
  <c r="I494" i="2"/>
  <c r="J494" i="2"/>
  <c r="K494" i="2"/>
  <c r="M494" i="2"/>
  <c r="O494" i="2"/>
  <c r="G494" i="2"/>
  <c r="O491" i="2"/>
  <c r="I490" i="2"/>
  <c r="J490" i="2"/>
  <c r="K490" i="2"/>
  <c r="G490" i="2"/>
  <c r="L490" i="2"/>
  <c r="M490" i="2"/>
  <c r="O490" i="2"/>
  <c r="I486" i="2"/>
  <c r="J486" i="2"/>
  <c r="K486" i="2"/>
  <c r="O486" i="2"/>
  <c r="F486" i="2"/>
  <c r="G486" i="2"/>
  <c r="L486" i="2"/>
  <c r="M486" i="2"/>
  <c r="N481" i="2"/>
  <c r="G465" i="2"/>
  <c r="O465" i="2"/>
  <c r="H465" i="2"/>
  <c r="P465" i="2"/>
  <c r="I465" i="2"/>
  <c r="J465" i="2"/>
  <c r="F465" i="2"/>
  <c r="L465" i="2"/>
  <c r="M465" i="2"/>
  <c r="J449" i="2"/>
  <c r="F449" i="2"/>
  <c r="N449" i="2"/>
  <c r="H449" i="2"/>
  <c r="I449" i="2"/>
  <c r="K449" i="2"/>
  <c r="L449" i="2"/>
  <c r="G449" i="2"/>
  <c r="O449" i="2"/>
  <c r="P449" i="2"/>
  <c r="M388" i="2"/>
  <c r="F388" i="2"/>
  <c r="N388" i="2"/>
  <c r="G388" i="2"/>
  <c r="O388" i="2"/>
  <c r="H388" i="2"/>
  <c r="P388" i="2"/>
  <c r="I388" i="2"/>
  <c r="J388" i="2"/>
  <c r="K388" i="2"/>
  <c r="L388" i="2"/>
  <c r="I532" i="2"/>
  <c r="M530" i="2"/>
  <c r="L527" i="2"/>
  <c r="F527" i="2"/>
  <c r="N527" i="2"/>
  <c r="I527" i="2"/>
  <c r="H525" i="2"/>
  <c r="P525" i="2"/>
  <c r="F525" i="2"/>
  <c r="O525" i="2"/>
  <c r="I525" i="2"/>
  <c r="L525" i="2"/>
  <c r="I522" i="2"/>
  <c r="J522" i="2"/>
  <c r="H522" i="2"/>
  <c r="L522" i="2"/>
  <c r="O522" i="2"/>
  <c r="M519" i="2"/>
  <c r="J517" i="2"/>
  <c r="K515" i="2"/>
  <c r="L515" i="2"/>
  <c r="M515" i="2"/>
  <c r="O515" i="2"/>
  <c r="H515" i="2"/>
  <c r="O512" i="2"/>
  <c r="H510" i="2"/>
  <c r="I509" i="2"/>
  <c r="K507" i="2"/>
  <c r="L507" i="2"/>
  <c r="I507" i="2"/>
  <c r="M507" i="2"/>
  <c r="F507" i="2"/>
  <c r="P507" i="2"/>
  <c r="P504" i="2"/>
  <c r="M503" i="2"/>
  <c r="J501" i="2"/>
  <c r="K499" i="2"/>
  <c r="L499" i="2"/>
  <c r="M499" i="2"/>
  <c r="O499" i="2"/>
  <c r="F499" i="2"/>
  <c r="I499" i="2"/>
  <c r="J496" i="2"/>
  <c r="P492" i="2"/>
  <c r="M484" i="2"/>
  <c r="F484" i="2"/>
  <c r="N484" i="2"/>
  <c r="G484" i="2"/>
  <c r="O484" i="2"/>
  <c r="H484" i="2"/>
  <c r="J484" i="2"/>
  <c r="K484" i="2"/>
  <c r="P484" i="2"/>
  <c r="I478" i="2"/>
  <c r="J478" i="2"/>
  <c r="K478" i="2"/>
  <c r="F478" i="2"/>
  <c r="H478" i="2"/>
  <c r="L478" i="2"/>
  <c r="N478" i="2"/>
  <c r="O478" i="2"/>
  <c r="G453" i="2"/>
  <c r="O453" i="2"/>
  <c r="H453" i="2"/>
  <c r="P453" i="2"/>
  <c r="I453" i="2"/>
  <c r="J453" i="2"/>
  <c r="K453" i="2"/>
  <c r="L453" i="2"/>
  <c r="M453" i="2"/>
  <c r="N453" i="2"/>
  <c r="H437" i="2"/>
  <c r="P437" i="2"/>
  <c r="J437" i="2"/>
  <c r="L437" i="2"/>
  <c r="M437" i="2"/>
  <c r="F437" i="2"/>
  <c r="N437" i="2"/>
  <c r="I437" i="2"/>
  <c r="K437" i="2"/>
  <c r="O437" i="2"/>
  <c r="G437" i="2"/>
  <c r="M520" i="2"/>
  <c r="F520" i="2"/>
  <c r="N520" i="2"/>
  <c r="P520" i="2"/>
  <c r="H520" i="2"/>
  <c r="K520" i="2"/>
  <c r="G489" i="2"/>
  <c r="O489" i="2"/>
  <c r="H489" i="2"/>
  <c r="P489" i="2"/>
  <c r="I489" i="2"/>
  <c r="K489" i="2"/>
  <c r="M489" i="2"/>
  <c r="N489" i="2"/>
  <c r="P527" i="2"/>
  <c r="F524" i="2"/>
  <c r="N524" i="2"/>
  <c r="K524" i="2"/>
  <c r="M524" i="2"/>
  <c r="H524" i="2"/>
  <c r="K523" i="2"/>
  <c r="L523" i="2"/>
  <c r="O523" i="2"/>
  <c r="G523" i="2"/>
  <c r="J523" i="2"/>
  <c r="L520" i="2"/>
  <c r="I519" i="2"/>
  <c r="M516" i="2"/>
  <c r="F516" i="2"/>
  <c r="N516" i="2"/>
  <c r="I516" i="2"/>
  <c r="K516" i="2"/>
  <c r="P516" i="2"/>
  <c r="K512" i="2"/>
  <c r="N505" i="2"/>
  <c r="O504" i="2"/>
  <c r="J503" i="2"/>
  <c r="M500" i="2"/>
  <c r="F500" i="2"/>
  <c r="N500" i="2"/>
  <c r="G500" i="2"/>
  <c r="O500" i="2"/>
  <c r="L500" i="2"/>
  <c r="I500" i="2"/>
  <c r="K495" i="2"/>
  <c r="L495" i="2"/>
  <c r="M495" i="2"/>
  <c r="I495" i="2"/>
  <c r="N495" i="2"/>
  <c r="F495" i="2"/>
  <c r="L492" i="2"/>
  <c r="M488" i="2"/>
  <c r="F488" i="2"/>
  <c r="N488" i="2"/>
  <c r="G488" i="2"/>
  <c r="O488" i="2"/>
  <c r="K488" i="2"/>
  <c r="P488" i="2"/>
  <c r="H488" i="2"/>
  <c r="I488" i="2"/>
  <c r="P482" i="2"/>
  <c r="M476" i="2"/>
  <c r="F476" i="2"/>
  <c r="N476" i="2"/>
  <c r="G476" i="2"/>
  <c r="O476" i="2"/>
  <c r="J476" i="2"/>
  <c r="L476" i="2"/>
  <c r="P476" i="2"/>
  <c r="H476" i="2"/>
  <c r="M452" i="2"/>
  <c r="F452" i="2"/>
  <c r="N452" i="2"/>
  <c r="G452" i="2"/>
  <c r="O452" i="2"/>
  <c r="H452" i="2"/>
  <c r="P452" i="2"/>
  <c r="I452" i="2"/>
  <c r="J452" i="2"/>
  <c r="K452" i="2"/>
  <c r="L452" i="2"/>
  <c r="F447" i="2"/>
  <c r="N447" i="2"/>
  <c r="J447" i="2"/>
  <c r="O447" i="2"/>
  <c r="P447" i="2"/>
  <c r="G447" i="2"/>
  <c r="H447" i="2"/>
  <c r="M447" i="2"/>
  <c r="I447" i="2"/>
  <c r="K447" i="2"/>
  <c r="J434" i="2"/>
  <c r="L434" i="2"/>
  <c r="F434" i="2"/>
  <c r="N434" i="2"/>
  <c r="G434" i="2"/>
  <c r="O434" i="2"/>
  <c r="H434" i="2"/>
  <c r="P434" i="2"/>
  <c r="K434" i="2"/>
  <c r="M434" i="2"/>
  <c r="I434" i="2"/>
  <c r="J530" i="2"/>
  <c r="L530" i="2"/>
  <c r="G530" i="2"/>
  <c r="O530" i="2"/>
  <c r="M480" i="2"/>
  <c r="F480" i="2"/>
  <c r="N480" i="2"/>
  <c r="G480" i="2"/>
  <c r="O480" i="2"/>
  <c r="P480" i="2"/>
  <c r="H480" i="2"/>
  <c r="J480" i="2"/>
  <c r="K480" i="2"/>
  <c r="H441" i="2"/>
  <c r="P441" i="2"/>
  <c r="J441" i="2"/>
  <c r="L441" i="2"/>
  <c r="F441" i="2"/>
  <c r="N441" i="2"/>
  <c r="K441" i="2"/>
  <c r="M441" i="2"/>
  <c r="O441" i="2"/>
  <c r="G441" i="2"/>
  <c r="I441" i="2"/>
  <c r="F532" i="2"/>
  <c r="H532" i="2"/>
  <c r="P532" i="2"/>
  <c r="I530" i="2"/>
  <c r="O527" i="2"/>
  <c r="P522" i="2"/>
  <c r="J520" i="2"/>
  <c r="G519" i="2"/>
  <c r="G517" i="2"/>
  <c r="O517" i="2"/>
  <c r="H517" i="2"/>
  <c r="P517" i="2"/>
  <c r="I517" i="2"/>
  <c r="L517" i="2"/>
  <c r="P515" i="2"/>
  <c r="J512" i="2"/>
  <c r="I510" i="2"/>
  <c r="J510" i="2"/>
  <c r="K510" i="2"/>
  <c r="M510" i="2"/>
  <c r="F510" i="2"/>
  <c r="P510" i="2"/>
  <c r="G509" i="2"/>
  <c r="O509" i="2"/>
  <c r="H509" i="2"/>
  <c r="P509" i="2"/>
  <c r="M509" i="2"/>
  <c r="J509" i="2"/>
  <c r="L505" i="2"/>
  <c r="K504" i="2"/>
  <c r="H503" i="2"/>
  <c r="G501" i="2"/>
  <c r="O501" i="2"/>
  <c r="H501" i="2"/>
  <c r="P501" i="2"/>
  <c r="K501" i="2"/>
  <c r="M501" i="2"/>
  <c r="F501" i="2"/>
  <c r="M496" i="2"/>
  <c r="F496" i="2"/>
  <c r="N496" i="2"/>
  <c r="G496" i="2"/>
  <c r="O496" i="2"/>
  <c r="I496" i="2"/>
  <c r="K496" i="2"/>
  <c r="J492" i="2"/>
  <c r="K491" i="2"/>
  <c r="L491" i="2"/>
  <c r="M491" i="2"/>
  <c r="F491" i="2"/>
  <c r="H491" i="2"/>
  <c r="I491" i="2"/>
  <c r="N491" i="2"/>
  <c r="L489" i="2"/>
  <c r="L485" i="2"/>
  <c r="M482" i="2"/>
  <c r="G481" i="2"/>
  <c r="O481" i="2"/>
  <c r="H481" i="2"/>
  <c r="P481" i="2"/>
  <c r="I481" i="2"/>
  <c r="M481" i="2"/>
  <c r="J481" i="2"/>
  <c r="K481" i="2"/>
  <c r="G461" i="2"/>
  <c r="O461" i="2"/>
  <c r="H461" i="2"/>
  <c r="P461" i="2"/>
  <c r="I461" i="2"/>
  <c r="J461" i="2"/>
  <c r="K461" i="2"/>
  <c r="M461" i="2"/>
  <c r="N461" i="2"/>
  <c r="L450" i="2"/>
  <c r="H450" i="2"/>
  <c r="P450" i="2"/>
  <c r="O450" i="2"/>
  <c r="F450" i="2"/>
  <c r="G450" i="2"/>
  <c r="I450" i="2"/>
  <c r="J450" i="2"/>
  <c r="K450" i="2"/>
  <c r="M450" i="2"/>
  <c r="N450" i="2"/>
  <c r="N532" i="2"/>
  <c r="H530" i="2"/>
  <c r="M527" i="2"/>
  <c r="N525" i="2"/>
  <c r="N522" i="2"/>
  <c r="I520" i="2"/>
  <c r="F519" i="2"/>
  <c r="I518" i="2"/>
  <c r="J518" i="2"/>
  <c r="M518" i="2"/>
  <c r="O518" i="2"/>
  <c r="H518" i="2"/>
  <c r="N515" i="2"/>
  <c r="H512" i="2"/>
  <c r="O507" i="2"/>
  <c r="K505" i="2"/>
  <c r="I504" i="2"/>
  <c r="G503" i="2"/>
  <c r="P499" i="2"/>
  <c r="I492" i="2"/>
  <c r="J489" i="2"/>
  <c r="F485" i="2"/>
  <c r="H482" i="2"/>
  <c r="L480" i="2"/>
  <c r="I474" i="2"/>
  <c r="J474" i="2"/>
  <c r="K474" i="2"/>
  <c r="N474" i="2"/>
  <c r="P474" i="2"/>
  <c r="F474" i="2"/>
  <c r="H474" i="2"/>
  <c r="L474" i="2"/>
  <c r="M472" i="2"/>
  <c r="F472" i="2"/>
  <c r="N472" i="2"/>
  <c r="G472" i="2"/>
  <c r="O472" i="2"/>
  <c r="I472" i="2"/>
  <c r="J472" i="2"/>
  <c r="L472" i="2"/>
  <c r="P472" i="2"/>
  <c r="I470" i="2"/>
  <c r="J470" i="2"/>
  <c r="K470" i="2"/>
  <c r="N470" i="2"/>
  <c r="P470" i="2"/>
  <c r="F470" i="2"/>
  <c r="H470" i="2"/>
  <c r="L470" i="2"/>
  <c r="M468" i="2"/>
  <c r="F468" i="2"/>
  <c r="N468" i="2"/>
  <c r="G468" i="2"/>
  <c r="O468" i="2"/>
  <c r="I468" i="2"/>
  <c r="J468" i="2"/>
  <c r="L468" i="2"/>
  <c r="P468" i="2"/>
  <c r="I466" i="2"/>
  <c r="J466" i="2"/>
  <c r="K466" i="2"/>
  <c r="N466" i="2"/>
  <c r="P466" i="2"/>
  <c r="F466" i="2"/>
  <c r="H466" i="2"/>
  <c r="L466" i="2"/>
  <c r="J460" i="2"/>
  <c r="F424" i="2"/>
  <c r="N424" i="2"/>
  <c r="H424" i="2"/>
  <c r="P424" i="2"/>
  <c r="J424" i="2"/>
  <c r="K424" i="2"/>
  <c r="L424" i="2"/>
  <c r="G424" i="2"/>
  <c r="I424" i="2"/>
  <c r="M424" i="2"/>
  <c r="O424" i="2"/>
  <c r="I462" i="2"/>
  <c r="J462" i="2"/>
  <c r="K462" i="2"/>
  <c r="L462" i="2"/>
  <c r="I454" i="2"/>
  <c r="J454" i="2"/>
  <c r="K454" i="2"/>
  <c r="L454" i="2"/>
  <c r="L439" i="2"/>
  <c r="F439" i="2"/>
  <c r="N439" i="2"/>
  <c r="H439" i="2"/>
  <c r="P439" i="2"/>
  <c r="I439" i="2"/>
  <c r="J439" i="2"/>
  <c r="G439" i="2"/>
  <c r="K439" i="2"/>
  <c r="M439" i="2"/>
  <c r="L427" i="2"/>
  <c r="F427" i="2"/>
  <c r="N427" i="2"/>
  <c r="H427" i="2"/>
  <c r="P427" i="2"/>
  <c r="I427" i="2"/>
  <c r="J427" i="2"/>
  <c r="G427" i="2"/>
  <c r="K427" i="2"/>
  <c r="M427" i="2"/>
  <c r="O427" i="2"/>
  <c r="F420" i="2"/>
  <c r="N420" i="2"/>
  <c r="H420" i="2"/>
  <c r="P420" i="2"/>
  <c r="J420" i="2"/>
  <c r="K420" i="2"/>
  <c r="L420" i="2"/>
  <c r="G420" i="2"/>
  <c r="I420" i="2"/>
  <c r="M420" i="2"/>
  <c r="J418" i="2"/>
  <c r="L418" i="2"/>
  <c r="F418" i="2"/>
  <c r="N418" i="2"/>
  <c r="G418" i="2"/>
  <c r="O418" i="2"/>
  <c r="H418" i="2"/>
  <c r="P418" i="2"/>
  <c r="K418" i="2"/>
  <c r="M418" i="2"/>
  <c r="K483" i="2"/>
  <c r="L483" i="2"/>
  <c r="M483" i="2"/>
  <c r="J479" i="2"/>
  <c r="P462" i="2"/>
  <c r="P454" i="2"/>
  <c r="F436" i="2"/>
  <c r="N436" i="2"/>
  <c r="H436" i="2"/>
  <c r="P436" i="2"/>
  <c r="J436" i="2"/>
  <c r="K436" i="2"/>
  <c r="L436" i="2"/>
  <c r="G436" i="2"/>
  <c r="I436" i="2"/>
  <c r="M436" i="2"/>
  <c r="H413" i="2"/>
  <c r="P413" i="2"/>
  <c r="I413" i="2"/>
  <c r="J413" i="2"/>
  <c r="K413" i="2"/>
  <c r="L413" i="2"/>
  <c r="N413" i="2"/>
  <c r="F413" i="2"/>
  <c r="G413" i="2"/>
  <c r="M413" i="2"/>
  <c r="O413" i="2"/>
  <c r="H409" i="2"/>
  <c r="P409" i="2"/>
  <c r="I409" i="2"/>
  <c r="J409" i="2"/>
  <c r="K409" i="2"/>
  <c r="L409" i="2"/>
  <c r="M409" i="2"/>
  <c r="O409" i="2"/>
  <c r="F409" i="2"/>
  <c r="N409" i="2"/>
  <c r="G385" i="2"/>
  <c r="O385" i="2"/>
  <c r="H385" i="2"/>
  <c r="P385" i="2"/>
  <c r="I385" i="2"/>
  <c r="J385" i="2"/>
  <c r="K385" i="2"/>
  <c r="L385" i="2"/>
  <c r="F385" i="2"/>
  <c r="M385" i="2"/>
  <c r="N385" i="2"/>
  <c r="M380" i="2"/>
  <c r="F380" i="2"/>
  <c r="N380" i="2"/>
  <c r="G380" i="2"/>
  <c r="O380" i="2"/>
  <c r="H380" i="2"/>
  <c r="P380" i="2"/>
  <c r="I380" i="2"/>
  <c r="J380" i="2"/>
  <c r="K380" i="2"/>
  <c r="G377" i="2"/>
  <c r="O377" i="2"/>
  <c r="H377" i="2"/>
  <c r="P377" i="2"/>
  <c r="I377" i="2"/>
  <c r="J377" i="2"/>
  <c r="K377" i="2"/>
  <c r="L377" i="2"/>
  <c r="F377" i="2"/>
  <c r="M377" i="2"/>
  <c r="N377" i="2"/>
  <c r="K475" i="2"/>
  <c r="L475" i="2"/>
  <c r="M475" i="2"/>
  <c r="M464" i="2"/>
  <c r="F464" i="2"/>
  <c r="N464" i="2"/>
  <c r="G464" i="2"/>
  <c r="O464" i="2"/>
  <c r="H464" i="2"/>
  <c r="P464" i="2"/>
  <c r="N462" i="2"/>
  <c r="M456" i="2"/>
  <c r="F456" i="2"/>
  <c r="N456" i="2"/>
  <c r="G456" i="2"/>
  <c r="O456" i="2"/>
  <c r="H456" i="2"/>
  <c r="P456" i="2"/>
  <c r="N454" i="2"/>
  <c r="F412" i="2"/>
  <c r="N412" i="2"/>
  <c r="G412" i="2"/>
  <c r="O412" i="2"/>
  <c r="H412" i="2"/>
  <c r="P412" i="2"/>
  <c r="I412" i="2"/>
  <c r="J412" i="2"/>
  <c r="K412" i="2"/>
  <c r="M412" i="2"/>
  <c r="G393" i="2"/>
  <c r="O393" i="2"/>
  <c r="H393" i="2"/>
  <c r="P393" i="2"/>
  <c r="I393" i="2"/>
  <c r="J393" i="2"/>
  <c r="K393" i="2"/>
  <c r="L393" i="2"/>
  <c r="M393" i="2"/>
  <c r="F393" i="2"/>
  <c r="N393" i="2"/>
  <c r="M384" i="2"/>
  <c r="F384" i="2"/>
  <c r="N384" i="2"/>
  <c r="G384" i="2"/>
  <c r="O384" i="2"/>
  <c r="H384" i="2"/>
  <c r="P384" i="2"/>
  <c r="I384" i="2"/>
  <c r="J384" i="2"/>
  <c r="L384" i="2"/>
  <c r="K487" i="2"/>
  <c r="L487" i="2"/>
  <c r="M487" i="2"/>
  <c r="J483" i="2"/>
  <c r="O475" i="2"/>
  <c r="M462" i="2"/>
  <c r="I458" i="2"/>
  <c r="J458" i="2"/>
  <c r="K458" i="2"/>
  <c r="L458" i="2"/>
  <c r="M454" i="2"/>
  <c r="L431" i="2"/>
  <c r="F431" i="2"/>
  <c r="N431" i="2"/>
  <c r="H431" i="2"/>
  <c r="P431" i="2"/>
  <c r="I431" i="2"/>
  <c r="J431" i="2"/>
  <c r="M431" i="2"/>
  <c r="O431" i="2"/>
  <c r="M392" i="2"/>
  <c r="F392" i="2"/>
  <c r="N392" i="2"/>
  <c r="G392" i="2"/>
  <c r="O392" i="2"/>
  <c r="H392" i="2"/>
  <c r="P392" i="2"/>
  <c r="I392" i="2"/>
  <c r="J392" i="2"/>
  <c r="K392" i="2"/>
  <c r="L392" i="2"/>
  <c r="F440" i="2"/>
  <c r="N440" i="2"/>
  <c r="H440" i="2"/>
  <c r="P440" i="2"/>
  <c r="J440" i="2"/>
  <c r="L440" i="2"/>
  <c r="I440" i="2"/>
  <c r="K440" i="2"/>
  <c r="M440" i="2"/>
  <c r="O440" i="2"/>
  <c r="K395" i="2"/>
  <c r="L395" i="2"/>
  <c r="M395" i="2"/>
  <c r="F395" i="2"/>
  <c r="N395" i="2"/>
  <c r="G395" i="2"/>
  <c r="O395" i="2"/>
  <c r="H395" i="2"/>
  <c r="P395" i="2"/>
  <c r="I395" i="2"/>
  <c r="J395" i="2"/>
  <c r="H483" i="2"/>
  <c r="K479" i="2"/>
  <c r="L479" i="2"/>
  <c r="M479" i="2"/>
  <c r="J475" i="2"/>
  <c r="G462" i="2"/>
  <c r="G454" i="2"/>
  <c r="L446" i="2"/>
  <c r="F446" i="2"/>
  <c r="N446" i="2"/>
  <c r="H446" i="2"/>
  <c r="P446" i="2"/>
  <c r="G446" i="2"/>
  <c r="I446" i="2"/>
  <c r="J446" i="2"/>
  <c r="J442" i="2"/>
  <c r="L442" i="2"/>
  <c r="F442" i="2"/>
  <c r="N442" i="2"/>
  <c r="H442" i="2"/>
  <c r="P442" i="2"/>
  <c r="M442" i="2"/>
  <c r="O442" i="2"/>
  <c r="J430" i="2"/>
  <c r="L430" i="2"/>
  <c r="F430" i="2"/>
  <c r="N430" i="2"/>
  <c r="G430" i="2"/>
  <c r="O430" i="2"/>
  <c r="H430" i="2"/>
  <c r="P430" i="2"/>
  <c r="I430" i="2"/>
  <c r="K430" i="2"/>
  <c r="M430" i="2"/>
  <c r="F428" i="2"/>
  <c r="N428" i="2"/>
  <c r="H428" i="2"/>
  <c r="P428" i="2"/>
  <c r="J428" i="2"/>
  <c r="K428" i="2"/>
  <c r="L428" i="2"/>
  <c r="M428" i="2"/>
  <c r="O428" i="2"/>
  <c r="H421" i="2"/>
  <c r="P421" i="2"/>
  <c r="J421" i="2"/>
  <c r="L421" i="2"/>
  <c r="M421" i="2"/>
  <c r="F421" i="2"/>
  <c r="N421" i="2"/>
  <c r="I421" i="2"/>
  <c r="K421" i="2"/>
  <c r="O421" i="2"/>
  <c r="H448" i="2"/>
  <c r="P448" i="2"/>
  <c r="L448" i="2"/>
  <c r="L443" i="2"/>
  <c r="F443" i="2"/>
  <c r="N443" i="2"/>
  <c r="H443" i="2"/>
  <c r="P443" i="2"/>
  <c r="J443" i="2"/>
  <c r="J438" i="2"/>
  <c r="L438" i="2"/>
  <c r="F438" i="2"/>
  <c r="N438" i="2"/>
  <c r="G438" i="2"/>
  <c r="O438" i="2"/>
  <c r="H438" i="2"/>
  <c r="P438" i="2"/>
  <c r="O433" i="2"/>
  <c r="H425" i="2"/>
  <c r="P425" i="2"/>
  <c r="J425" i="2"/>
  <c r="L425" i="2"/>
  <c r="M425" i="2"/>
  <c r="F425" i="2"/>
  <c r="N425" i="2"/>
  <c r="J422" i="2"/>
  <c r="L422" i="2"/>
  <c r="F422" i="2"/>
  <c r="N422" i="2"/>
  <c r="G422" i="2"/>
  <c r="O422" i="2"/>
  <c r="H422" i="2"/>
  <c r="P422" i="2"/>
  <c r="O417" i="2"/>
  <c r="G416" i="2"/>
  <c r="I416" i="2"/>
  <c r="N416" i="2"/>
  <c r="F416" i="2"/>
  <c r="P416" i="2"/>
  <c r="J416" i="2"/>
  <c r="K416" i="2"/>
  <c r="L416" i="2"/>
  <c r="F408" i="2"/>
  <c r="N408" i="2"/>
  <c r="G408" i="2"/>
  <c r="O408" i="2"/>
  <c r="H408" i="2"/>
  <c r="P408" i="2"/>
  <c r="I408" i="2"/>
  <c r="J408" i="2"/>
  <c r="L408" i="2"/>
  <c r="M408" i="2"/>
  <c r="M376" i="2"/>
  <c r="F376" i="2"/>
  <c r="N376" i="2"/>
  <c r="G376" i="2"/>
  <c r="O376" i="2"/>
  <c r="H376" i="2"/>
  <c r="P376" i="2"/>
  <c r="I376" i="2"/>
  <c r="J376" i="2"/>
  <c r="L376" i="2"/>
  <c r="G373" i="2"/>
  <c r="O373" i="2"/>
  <c r="H373" i="2"/>
  <c r="P373" i="2"/>
  <c r="I373" i="2"/>
  <c r="J373" i="2"/>
  <c r="K373" i="2"/>
  <c r="L373" i="2"/>
  <c r="F373" i="2"/>
  <c r="M373" i="2"/>
  <c r="N373" i="2"/>
  <c r="M451" i="2"/>
  <c r="N448" i="2"/>
  <c r="F444" i="2"/>
  <c r="N444" i="2"/>
  <c r="H444" i="2"/>
  <c r="P444" i="2"/>
  <c r="J444" i="2"/>
  <c r="L444" i="2"/>
  <c r="L435" i="2"/>
  <c r="F435" i="2"/>
  <c r="N435" i="2"/>
  <c r="H435" i="2"/>
  <c r="P435" i="2"/>
  <c r="I435" i="2"/>
  <c r="J435" i="2"/>
  <c r="K433" i="2"/>
  <c r="F432" i="2"/>
  <c r="N432" i="2"/>
  <c r="H432" i="2"/>
  <c r="P432" i="2"/>
  <c r="J432" i="2"/>
  <c r="K432" i="2"/>
  <c r="L432" i="2"/>
  <c r="L419" i="2"/>
  <c r="F419" i="2"/>
  <c r="N419" i="2"/>
  <c r="H419" i="2"/>
  <c r="P419" i="2"/>
  <c r="I419" i="2"/>
  <c r="J419" i="2"/>
  <c r="K417" i="2"/>
  <c r="L411" i="2"/>
  <c r="M411" i="2"/>
  <c r="F411" i="2"/>
  <c r="N411" i="2"/>
  <c r="G411" i="2"/>
  <c r="O411" i="2"/>
  <c r="H411" i="2"/>
  <c r="P411" i="2"/>
  <c r="I411" i="2"/>
  <c r="J411" i="2"/>
  <c r="K411" i="2"/>
  <c r="H397" i="2"/>
  <c r="P397" i="2"/>
  <c r="I397" i="2"/>
  <c r="J397" i="2"/>
  <c r="K397" i="2"/>
  <c r="L397" i="2"/>
  <c r="G397" i="2"/>
  <c r="M397" i="2"/>
  <c r="N397" i="2"/>
  <c r="O397" i="2"/>
  <c r="L471" i="2"/>
  <c r="L467" i="2"/>
  <c r="L463" i="2"/>
  <c r="L459" i="2"/>
  <c r="L455" i="2"/>
  <c r="L451" i="2"/>
  <c r="M448" i="2"/>
  <c r="H445" i="2"/>
  <c r="P445" i="2"/>
  <c r="J445" i="2"/>
  <c r="L445" i="2"/>
  <c r="F445" i="2"/>
  <c r="N445" i="2"/>
  <c r="I433" i="2"/>
  <c r="H429" i="2"/>
  <c r="P429" i="2"/>
  <c r="J429" i="2"/>
  <c r="L429" i="2"/>
  <c r="M429" i="2"/>
  <c r="F429" i="2"/>
  <c r="N429" i="2"/>
  <c r="J426" i="2"/>
  <c r="L426" i="2"/>
  <c r="F426" i="2"/>
  <c r="N426" i="2"/>
  <c r="G426" i="2"/>
  <c r="O426" i="2"/>
  <c r="H426" i="2"/>
  <c r="P426" i="2"/>
  <c r="I417" i="2"/>
  <c r="I390" i="2"/>
  <c r="J390" i="2"/>
  <c r="K390" i="2"/>
  <c r="L390" i="2"/>
  <c r="M390" i="2"/>
  <c r="F390" i="2"/>
  <c r="N390" i="2"/>
  <c r="G390" i="2"/>
  <c r="H390" i="2"/>
  <c r="O390" i="2"/>
  <c r="P390" i="2"/>
  <c r="I382" i="2"/>
  <c r="J382" i="2"/>
  <c r="K382" i="2"/>
  <c r="L382" i="2"/>
  <c r="M382" i="2"/>
  <c r="F382" i="2"/>
  <c r="N382" i="2"/>
  <c r="G382" i="2"/>
  <c r="O382" i="2"/>
  <c r="P382" i="2"/>
  <c r="G369" i="2"/>
  <c r="O369" i="2"/>
  <c r="H369" i="2"/>
  <c r="P369" i="2"/>
  <c r="I369" i="2"/>
  <c r="J369" i="2"/>
  <c r="K369" i="2"/>
  <c r="L369" i="2"/>
  <c r="M369" i="2"/>
  <c r="N369" i="2"/>
  <c r="K451" i="2"/>
  <c r="K448" i="2"/>
  <c r="O443" i="2"/>
  <c r="H405" i="2"/>
  <c r="P405" i="2"/>
  <c r="I405" i="2"/>
  <c r="J405" i="2"/>
  <c r="K405" i="2"/>
  <c r="L405" i="2"/>
  <c r="G405" i="2"/>
  <c r="N405" i="2"/>
  <c r="O405" i="2"/>
  <c r="M372" i="2"/>
  <c r="F372" i="2"/>
  <c r="N372" i="2"/>
  <c r="G372" i="2"/>
  <c r="O372" i="2"/>
  <c r="H372" i="2"/>
  <c r="P372" i="2"/>
  <c r="I372" i="2"/>
  <c r="J372" i="2"/>
  <c r="K372" i="2"/>
  <c r="M368" i="2"/>
  <c r="F368" i="2"/>
  <c r="N368" i="2"/>
  <c r="G368" i="2"/>
  <c r="O368" i="2"/>
  <c r="H368" i="2"/>
  <c r="P368" i="2"/>
  <c r="I368" i="2"/>
  <c r="J368" i="2"/>
  <c r="K368" i="2"/>
  <c r="L368" i="2"/>
  <c r="H433" i="2"/>
  <c r="P433" i="2"/>
  <c r="J433" i="2"/>
  <c r="L433" i="2"/>
  <c r="M433" i="2"/>
  <c r="F433" i="2"/>
  <c r="N433" i="2"/>
  <c r="H417" i="2"/>
  <c r="P417" i="2"/>
  <c r="J417" i="2"/>
  <c r="L417" i="2"/>
  <c r="M417" i="2"/>
  <c r="F417" i="2"/>
  <c r="N417" i="2"/>
  <c r="H401" i="2"/>
  <c r="P401" i="2"/>
  <c r="I401" i="2"/>
  <c r="J401" i="2"/>
  <c r="K401" i="2"/>
  <c r="L401" i="2"/>
  <c r="F401" i="2"/>
  <c r="M401" i="2"/>
  <c r="N401" i="2"/>
  <c r="O401" i="2"/>
  <c r="G389" i="2"/>
  <c r="O389" i="2"/>
  <c r="H389" i="2"/>
  <c r="P389" i="2"/>
  <c r="I389" i="2"/>
  <c r="J389" i="2"/>
  <c r="K389" i="2"/>
  <c r="L389" i="2"/>
  <c r="N389" i="2"/>
  <c r="F389" i="2"/>
  <c r="K371" i="2"/>
  <c r="L371" i="2"/>
  <c r="M371" i="2"/>
  <c r="F371" i="2"/>
  <c r="N371" i="2"/>
  <c r="G371" i="2"/>
  <c r="O371" i="2"/>
  <c r="H371" i="2"/>
  <c r="P371" i="2"/>
  <c r="I371" i="2"/>
  <c r="J371" i="2"/>
  <c r="P415" i="2"/>
  <c r="I410" i="2"/>
  <c r="H406" i="2"/>
  <c r="K403" i="2"/>
  <c r="J399" i="2"/>
  <c r="J398" i="2"/>
  <c r="K398" i="2"/>
  <c r="L398" i="2"/>
  <c r="M398" i="2"/>
  <c r="F398" i="2"/>
  <c r="N398" i="2"/>
  <c r="M396" i="2"/>
  <c r="K391" i="2"/>
  <c r="L391" i="2"/>
  <c r="M391" i="2"/>
  <c r="F391" i="2"/>
  <c r="N391" i="2"/>
  <c r="G391" i="2"/>
  <c r="O391" i="2"/>
  <c r="H391" i="2"/>
  <c r="P391" i="2"/>
  <c r="J383" i="2"/>
  <c r="N381" i="2"/>
  <c r="I378" i="2"/>
  <c r="J378" i="2"/>
  <c r="K378" i="2"/>
  <c r="L378" i="2"/>
  <c r="M378" i="2"/>
  <c r="F378" i="2"/>
  <c r="N378" i="2"/>
  <c r="N415" i="2"/>
  <c r="H410" i="2"/>
  <c r="J403" i="2"/>
  <c r="J402" i="2"/>
  <c r="K402" i="2"/>
  <c r="L402" i="2"/>
  <c r="M402" i="2"/>
  <c r="F402" i="2"/>
  <c r="N402" i="2"/>
  <c r="L396" i="2"/>
  <c r="K387" i="2"/>
  <c r="L387" i="2"/>
  <c r="M387" i="2"/>
  <c r="F387" i="2"/>
  <c r="N387" i="2"/>
  <c r="G387" i="2"/>
  <c r="O387" i="2"/>
  <c r="H387" i="2"/>
  <c r="P387" i="2"/>
  <c r="M381" i="2"/>
  <c r="J379" i="2"/>
  <c r="I374" i="2"/>
  <c r="J374" i="2"/>
  <c r="K374" i="2"/>
  <c r="L374" i="2"/>
  <c r="M374" i="2"/>
  <c r="F374" i="2"/>
  <c r="N374" i="2"/>
  <c r="J406" i="2"/>
  <c r="K406" i="2"/>
  <c r="L406" i="2"/>
  <c r="M406" i="2"/>
  <c r="F406" i="2"/>
  <c r="N406" i="2"/>
  <c r="L399" i="2"/>
  <c r="M399" i="2"/>
  <c r="F399" i="2"/>
  <c r="N399" i="2"/>
  <c r="G399" i="2"/>
  <c r="O399" i="2"/>
  <c r="H399" i="2"/>
  <c r="P399" i="2"/>
  <c r="P386" i="2"/>
  <c r="K383" i="2"/>
  <c r="L383" i="2"/>
  <c r="M383" i="2"/>
  <c r="F383" i="2"/>
  <c r="N383" i="2"/>
  <c r="G383" i="2"/>
  <c r="O383" i="2"/>
  <c r="H383" i="2"/>
  <c r="P383" i="2"/>
  <c r="I370" i="2"/>
  <c r="J370" i="2"/>
  <c r="K370" i="2"/>
  <c r="L370" i="2"/>
  <c r="M370" i="2"/>
  <c r="F370" i="2"/>
  <c r="N370" i="2"/>
  <c r="J410" i="2"/>
  <c r="K410" i="2"/>
  <c r="L410" i="2"/>
  <c r="M410" i="2"/>
  <c r="F410" i="2"/>
  <c r="N410" i="2"/>
  <c r="L403" i="2"/>
  <c r="M403" i="2"/>
  <c r="F403" i="2"/>
  <c r="N403" i="2"/>
  <c r="G403" i="2"/>
  <c r="O403" i="2"/>
  <c r="H403" i="2"/>
  <c r="P403" i="2"/>
  <c r="F396" i="2"/>
  <c r="N396" i="2"/>
  <c r="G396" i="2"/>
  <c r="O396" i="2"/>
  <c r="H396" i="2"/>
  <c r="P396" i="2"/>
  <c r="I396" i="2"/>
  <c r="J396" i="2"/>
  <c r="G381" i="2"/>
  <c r="O381" i="2"/>
  <c r="H381" i="2"/>
  <c r="P381" i="2"/>
  <c r="I381" i="2"/>
  <c r="J381" i="2"/>
  <c r="K381" i="2"/>
  <c r="L381" i="2"/>
  <c r="K379" i="2"/>
  <c r="L379" i="2"/>
  <c r="M379" i="2"/>
  <c r="F379" i="2"/>
  <c r="N379" i="2"/>
  <c r="G379" i="2"/>
  <c r="O379" i="2"/>
  <c r="H379" i="2"/>
  <c r="P379" i="2"/>
  <c r="J414" i="2"/>
  <c r="K414" i="2"/>
  <c r="L414" i="2"/>
  <c r="M414" i="2"/>
  <c r="F414" i="2"/>
  <c r="N414" i="2"/>
  <c r="L407" i="2"/>
  <c r="M407" i="2"/>
  <c r="F407" i="2"/>
  <c r="N407" i="2"/>
  <c r="G407" i="2"/>
  <c r="O407" i="2"/>
  <c r="H407" i="2"/>
  <c r="P407" i="2"/>
  <c r="P402" i="2"/>
  <c r="I394" i="2"/>
  <c r="J394" i="2"/>
  <c r="K394" i="2"/>
  <c r="L394" i="2"/>
  <c r="M394" i="2"/>
  <c r="F394" i="2"/>
  <c r="N394" i="2"/>
  <c r="K375" i="2"/>
  <c r="L375" i="2"/>
  <c r="M375" i="2"/>
  <c r="F375" i="2"/>
  <c r="N375" i="2"/>
  <c r="G375" i="2"/>
  <c r="O375" i="2"/>
  <c r="H375" i="2"/>
  <c r="P375" i="2"/>
  <c r="M415" i="2"/>
  <c r="F415" i="2"/>
  <c r="G415" i="2"/>
  <c r="O415" i="2"/>
  <c r="H415" i="2"/>
  <c r="P410" i="2"/>
  <c r="O406" i="2"/>
  <c r="I386" i="2"/>
  <c r="J386" i="2"/>
  <c r="K386" i="2"/>
  <c r="L386" i="2"/>
  <c r="M386" i="2"/>
  <c r="F386" i="2"/>
  <c r="N386" i="2"/>
  <c r="K367" i="2"/>
  <c r="L367" i="2"/>
  <c r="M367" i="2"/>
  <c r="F367" i="2"/>
  <c r="N367" i="2"/>
  <c r="G367" i="2"/>
  <c r="O367" i="2"/>
  <c r="H367" i="2"/>
  <c r="P367" i="2"/>
  <c r="I366" i="2"/>
  <c r="J366" i="2"/>
  <c r="K366" i="2"/>
  <c r="L366" i="2"/>
  <c r="M366" i="2"/>
  <c r="N366" i="2"/>
  <c r="G366" i="2"/>
  <c r="O366" i="2"/>
  <c r="F366" i="2"/>
  <c r="H366" i="2"/>
  <c r="P366" i="2"/>
  <c r="P12" i="1" l="1"/>
  <c r="R12" i="1"/>
  <c r="P15" i="1"/>
  <c r="P13" i="1"/>
  <c r="P14" i="1"/>
  <c r="R15" i="1"/>
  <c r="R14" i="1"/>
  <c r="R13" i="1"/>
  <c r="M17" i="1"/>
  <c r="I8" i="1" s="1"/>
  <c r="I3" i="1" l="1"/>
  <c r="I4" i="1"/>
  <c r="I73" i="1"/>
  <c r="S12" i="1"/>
  <c r="S13" i="1"/>
  <c r="S14" i="1"/>
  <c r="S15" i="1"/>
  <c r="I9" i="1"/>
  <c r="I101" i="1"/>
  <c r="I5" i="1"/>
  <c r="I100" i="1"/>
  <c r="I146" i="1"/>
  <c r="I135" i="1"/>
  <c r="I161" i="1"/>
  <c r="I113" i="1"/>
  <c r="I117" i="1"/>
  <c r="I54" i="1"/>
  <c r="I145" i="1"/>
  <c r="I52" i="1"/>
  <c r="I53" i="1"/>
  <c r="I99" i="1"/>
  <c r="I144" i="1"/>
  <c r="I98" i="1"/>
  <c r="I143" i="1"/>
  <c r="I141" i="1"/>
  <c r="I142" i="1"/>
  <c r="I51" i="1"/>
  <c r="I140" i="1"/>
  <c r="I97" i="1"/>
  <c r="I50" i="1"/>
  <c r="I95" i="1"/>
  <c r="I96" i="1"/>
  <c r="I49" i="1"/>
  <c r="I94" i="1"/>
  <c r="I93" i="1"/>
  <c r="I48" i="1"/>
  <c r="I139" i="1"/>
  <c r="I137" i="1"/>
  <c r="I136" i="1"/>
  <c r="I138" i="1"/>
  <c r="I134" i="1"/>
  <c r="I7" i="1"/>
  <c r="I47" i="1"/>
  <c r="I133" i="1"/>
  <c r="I42" i="1"/>
  <c r="I43" i="1"/>
  <c r="I44" i="1"/>
  <c r="I45" i="1"/>
  <c r="I46" i="1"/>
  <c r="I90" i="1"/>
  <c r="I91" i="1"/>
  <c r="I89" i="1"/>
  <c r="I150" i="1"/>
  <c r="I132" i="1"/>
  <c r="I130" i="1"/>
  <c r="I131" i="1"/>
  <c r="I159" i="1"/>
  <c r="I41" i="1"/>
  <c r="I92" i="1"/>
  <c r="I87" i="1"/>
  <c r="I129" i="1"/>
  <c r="I79" i="1"/>
  <c r="I128" i="1"/>
  <c r="I86" i="1"/>
  <c r="I40" i="1"/>
  <c r="I127" i="1"/>
  <c r="I38" i="1"/>
  <c r="I39" i="1"/>
  <c r="I36" i="1"/>
  <c r="I37" i="1"/>
  <c r="I158" i="1"/>
  <c r="I157" i="1"/>
  <c r="I156" i="1"/>
  <c r="I155" i="1"/>
  <c r="I126" i="1"/>
  <c r="I153" i="1"/>
  <c r="I152" i="1"/>
  <c r="I85" i="1"/>
  <c r="I84" i="1"/>
  <c r="I124" i="1"/>
  <c r="I83" i="1"/>
  <c r="I31" i="1"/>
  <c r="I123" i="1"/>
  <c r="I34" i="1"/>
  <c r="I35" i="1"/>
  <c r="I33" i="1"/>
  <c r="I125" i="1"/>
  <c r="I30" i="1"/>
  <c r="I32" i="1"/>
  <c r="I122" i="1"/>
  <c r="I80" i="1"/>
  <c r="I28" i="1"/>
  <c r="I29" i="1"/>
  <c r="I6" i="1"/>
  <c r="I63" i="1"/>
  <c r="I118" i="1"/>
  <c r="I10" i="1"/>
  <c r="I78" i="1"/>
  <c r="I27" i="1"/>
  <c r="I120" i="1"/>
  <c r="I77" i="1"/>
  <c r="I26" i="1"/>
  <c r="I119" i="1"/>
  <c r="I76" i="1"/>
  <c r="I25" i="1"/>
  <c r="I116" i="1"/>
  <c r="I75" i="1"/>
  <c r="I74" i="1"/>
  <c r="I24" i="1"/>
  <c r="I115" i="1"/>
  <c r="I23" i="1"/>
  <c r="I72" i="1"/>
  <c r="I88" i="1"/>
  <c r="I151" i="1"/>
  <c r="I114" i="1"/>
  <c r="I71" i="1"/>
  <c r="I70" i="1"/>
  <c r="I22" i="1"/>
  <c r="I21" i="1"/>
  <c r="I112" i="1"/>
  <c r="I20" i="1"/>
  <c r="I111" i="1"/>
  <c r="I109" i="1"/>
  <c r="I19" i="1"/>
  <c r="I110" i="1"/>
  <c r="I17" i="1"/>
  <c r="I18" i="1"/>
  <c r="I82" i="1"/>
  <c r="I65" i="1"/>
  <c r="I68" i="1"/>
  <c r="I81" i="1"/>
  <c r="I67" i="1"/>
  <c r="I108" i="1"/>
  <c r="I66" i="1"/>
  <c r="I59" i="1"/>
  <c r="I16" i="1"/>
  <c r="I69" i="1"/>
  <c r="I64" i="1"/>
  <c r="I62" i="1"/>
  <c r="I107" i="1"/>
  <c r="I149" i="1"/>
  <c r="I106" i="1"/>
  <c r="I154" i="1"/>
  <c r="I105" i="1"/>
  <c r="I121" i="1"/>
  <c r="I61" i="1"/>
  <c r="I15" i="1"/>
  <c r="I14" i="1"/>
  <c r="I57" i="1"/>
  <c r="I160" i="1"/>
  <c r="I13" i="1"/>
  <c r="I104" i="1"/>
  <c r="I60" i="1"/>
  <c r="I58" i="1"/>
</calcChain>
</file>

<file path=xl/sharedStrings.xml><?xml version="1.0" encoding="utf-8"?>
<sst xmlns="http://schemas.openxmlformats.org/spreadsheetml/2006/main" count="217" uniqueCount="198">
  <si>
    <t>Name</t>
  </si>
  <si>
    <t>Quality</t>
  </si>
  <si>
    <t>Watermelon</t>
  </si>
  <si>
    <t>Banana Peel</t>
  </si>
  <si>
    <t>Juggernog</t>
  </si>
  <si>
    <t>Radar</t>
  </si>
  <si>
    <t>Category Mult</t>
  </si>
  <si>
    <t>Day of Year</t>
  </si>
  <si>
    <t>Player Score</t>
  </si>
  <si>
    <t>Christmas Factor</t>
  </si>
  <si>
    <t>Qual. -10</t>
  </si>
  <si>
    <t>for…</t>
  </si>
  <si>
    <t>Qual. -8</t>
  </si>
  <si>
    <t>Qual. -6</t>
  </si>
  <si>
    <t>Qual. -4</t>
  </si>
  <si>
    <t>Qual. -2</t>
  </si>
  <si>
    <t>Qual. 0</t>
  </si>
  <si>
    <t>Qual. 2</t>
  </si>
  <si>
    <t>Qual. 4</t>
  </si>
  <si>
    <t>Qual. 6</t>
  </si>
  <si>
    <t>Qual. 8</t>
  </si>
  <si>
    <t>Qual. 10</t>
  </si>
  <si>
    <t>Date</t>
  </si>
  <si>
    <t>Exponent</t>
  </si>
  <si>
    <t>Start</t>
  </si>
  <si>
    <t>Sub</t>
  </si>
  <si>
    <t>Divisor</t>
  </si>
  <si>
    <t>XMas Dist</t>
  </si>
  <si>
    <t>Formula</t>
  </si>
  <si>
    <t>Score</t>
  </si>
  <si>
    <t>Score Factor</t>
  </si>
  <si>
    <t>Max</t>
  </si>
  <si>
    <t>Xmas Factor</t>
  </si>
  <si>
    <t>Quality Factor</t>
  </si>
  <si>
    <t>Rarity Div</t>
  </si>
  <si>
    <t>Max Quality</t>
  </si>
  <si>
    <t>DayOfYear</t>
  </si>
  <si>
    <t>% of Total Weight</t>
  </si>
  <si>
    <t>Total Weight</t>
  </si>
  <si>
    <t>No Explosion Damage</t>
  </si>
  <si>
    <t>QualityF / Rarity</t>
  </si>
  <si>
    <t>Weight = QF/R * Category</t>
  </si>
  <si>
    <t>'SUPER' 357</t>
  </si>
  <si>
    <t>1928 Thompson</t>
  </si>
  <si>
    <t>Shop SWEPs</t>
  </si>
  <si>
    <t>Floor SWEPs</t>
  </si>
  <si>
    <t>Shop Items</t>
  </si>
  <si>
    <t>Ares Shrike</t>
  </si>
  <si>
    <t>AUG</t>
  </si>
  <si>
    <t>Binoculars</t>
  </si>
  <si>
    <t>Body Armor</t>
  </si>
  <si>
    <t>Bouncy Ball Launcher</t>
  </si>
  <si>
    <r>
      <t>Bouncy Ball</t>
    </r>
    <r>
      <rPr>
        <sz val="11"/>
        <color theme="1"/>
        <rFont val="Aptos Narrow"/>
        <family val="2"/>
        <scheme val="minor"/>
      </rPr>
      <t xml:space="preserve"> (harmless)</t>
    </r>
  </si>
  <si>
    <t>Camera</t>
  </si>
  <si>
    <t>KFC Bucket</t>
  </si>
  <si>
    <t>Chicken</t>
  </si>
  <si>
    <t>Banana Split</t>
  </si>
  <si>
    <t>Clutterbomb</t>
  </si>
  <si>
    <r>
      <t xml:space="preserve">Beacon </t>
    </r>
    <r>
      <rPr>
        <sz val="11"/>
        <color theme="1"/>
        <rFont val="Aptos Narrow"/>
        <family val="2"/>
        <scheme val="minor"/>
      </rPr>
      <t>(live)</t>
    </r>
  </si>
  <si>
    <r>
      <t>ADS</t>
    </r>
    <r>
      <rPr>
        <sz val="11"/>
        <color theme="1"/>
        <rFont val="Aptos Narrow"/>
        <family val="2"/>
        <scheme val="minor"/>
      </rPr>
      <t xml:space="preserve"> (live)</t>
    </r>
  </si>
  <si>
    <r>
      <t>Clutterbomb</t>
    </r>
    <r>
      <rPr>
        <sz val="11"/>
        <color theme="1"/>
        <rFont val="Aptos Narrow"/>
        <family val="2"/>
        <scheme val="minor"/>
      </rPr>
      <t xml:space="preserve"> (live)</t>
    </r>
  </si>
  <si>
    <r>
      <t>Clusterbomb</t>
    </r>
    <r>
      <rPr>
        <sz val="11"/>
        <color theme="1"/>
        <rFont val="Aptos Narrow"/>
        <family val="2"/>
        <scheme val="minor"/>
      </rPr>
      <t xml:space="preserve"> (live)</t>
    </r>
  </si>
  <si>
    <t>Controllable Manhack</t>
  </si>
  <si>
    <r>
      <t xml:space="preserve">D20 </t>
    </r>
    <r>
      <rPr>
        <sz val="11"/>
        <color theme="1"/>
        <rFont val="Aptos Narrow"/>
        <family val="2"/>
        <scheme val="minor"/>
      </rPr>
      <t>(live)</t>
    </r>
  </si>
  <si>
    <t>Maxwell</t>
  </si>
  <si>
    <t>Chomik</t>
  </si>
  <si>
    <t>Deagle</t>
  </si>
  <si>
    <t>Deployable Force Field</t>
  </si>
  <si>
    <t>Discombobulator</t>
  </si>
  <si>
    <t>Doppelganger</t>
  </si>
  <si>
    <t>Props</t>
  </si>
  <si>
    <t>Duct Tape</t>
  </si>
  <si>
    <t>Dete Playercam</t>
  </si>
  <si>
    <t>Extinguisher</t>
  </si>
  <si>
    <t>FAMAS</t>
  </si>
  <si>
    <r>
      <t>Barnacle</t>
    </r>
    <r>
      <rPr>
        <sz val="11"/>
        <color theme="1"/>
        <rFont val="Aptos Narrow"/>
        <family val="2"/>
        <scheme val="minor"/>
      </rPr>
      <t xml:space="preserve"> (on giftee, who can shoot it to escape)</t>
    </r>
  </si>
  <si>
    <t>Intercept</t>
  </si>
  <si>
    <t>G3SG1</t>
  </si>
  <si>
    <t>Galil</t>
  </si>
  <si>
    <t>Gift Wrap</t>
  </si>
  <si>
    <r>
      <t>Gift</t>
    </r>
    <r>
      <rPr>
        <sz val="11"/>
        <color theme="1"/>
        <rFont val="Aptos Narrow"/>
        <family val="2"/>
        <scheme val="minor"/>
      </rPr>
      <t xml:space="preserve"> (effectively a reroll)</t>
    </r>
  </si>
  <si>
    <r>
      <t>Present</t>
    </r>
    <r>
      <rPr>
        <sz val="11"/>
        <color theme="1"/>
        <rFont val="Aptos Narrow"/>
        <family val="2"/>
        <scheme val="minor"/>
      </rPr>
      <t xml:space="preserve"> (from Snuffles)</t>
    </r>
  </si>
  <si>
    <t>Glider</t>
  </si>
  <si>
    <t>Glock</t>
  </si>
  <si>
    <r>
      <t>Glue Trap</t>
    </r>
    <r>
      <rPr>
        <sz val="11"/>
        <color theme="1"/>
        <rFont val="Aptos Narrow"/>
        <family val="2"/>
        <scheme val="minor"/>
      </rPr>
      <t xml:space="preserve"> (on giftee)</t>
    </r>
  </si>
  <si>
    <t>Glue Trap</t>
  </si>
  <si>
    <r>
      <t xml:space="preserve">Green Demon </t>
    </r>
    <r>
      <rPr>
        <sz val="11"/>
        <color theme="1"/>
        <rFont val="Aptos Narrow"/>
        <family val="2"/>
        <scheme val="minor"/>
      </rPr>
      <t>(live)</t>
    </r>
  </si>
  <si>
    <r>
      <t xml:space="preserve">Groovitron </t>
    </r>
    <r>
      <rPr>
        <sz val="11"/>
        <color theme="1"/>
        <rFont val="Aptos Narrow"/>
        <family val="2"/>
        <scheme val="minor"/>
      </rPr>
      <t>(live)</t>
    </r>
  </si>
  <si>
    <t>H.U.G.E-249</t>
  </si>
  <si>
    <t>Hand Cannon</t>
  </si>
  <si>
    <r>
      <t>Health Station</t>
    </r>
    <r>
      <rPr>
        <sz val="11"/>
        <color theme="1"/>
        <rFont val="Aptos Narrow"/>
        <family val="2"/>
        <scheme val="minor"/>
      </rPr>
      <t xml:space="preserve"> (live)</t>
    </r>
  </si>
  <si>
    <t>Headcrab</t>
  </si>
  <si>
    <t>HMT-10</t>
  </si>
  <si>
    <t>Honey Badger</t>
  </si>
  <si>
    <t>Jam</t>
  </si>
  <si>
    <t>Jarate</t>
  </si>
  <si>
    <r>
      <t xml:space="preserve">Ice Grenade </t>
    </r>
    <r>
      <rPr>
        <sz val="11"/>
        <color theme="1"/>
        <rFont val="Aptos Narrow"/>
        <family val="2"/>
        <scheme val="minor"/>
      </rPr>
      <t>(live)</t>
    </r>
  </si>
  <si>
    <r>
      <t>Identity Swap Grenade</t>
    </r>
    <r>
      <rPr>
        <sz val="11"/>
        <color theme="1"/>
        <rFont val="Aptos Narrow"/>
        <family val="2"/>
        <scheme val="minor"/>
      </rPr>
      <t xml:space="preserve"> (live)</t>
    </r>
  </si>
  <si>
    <t>Incendiary Grenade</t>
  </si>
  <si>
    <t>Identity Swap Grenade</t>
  </si>
  <si>
    <t>Prop Bunger</t>
  </si>
  <si>
    <r>
      <t>Small Bunger</t>
    </r>
    <r>
      <rPr>
        <sz val="11"/>
        <color theme="1"/>
        <rFont val="Aptos Narrow"/>
        <family val="2"/>
        <scheme val="minor"/>
      </rPr>
      <t xml:space="preserve"> (live, half health)</t>
    </r>
  </si>
  <si>
    <t>Kriss Vector</t>
  </si>
  <si>
    <t>KSG</t>
  </si>
  <si>
    <t>Lens</t>
  </si>
  <si>
    <t>M16</t>
  </si>
  <si>
    <t>MAC10</t>
  </si>
  <si>
    <t>MP5</t>
  </si>
  <si>
    <t>MP5K</t>
  </si>
  <si>
    <t>MP7</t>
  </si>
  <si>
    <t>MRCA1</t>
  </si>
  <si>
    <t>M1A0 Cat Gun</t>
  </si>
  <si>
    <t>Magic Beans</t>
  </si>
  <si>
    <t>Minifier</t>
  </si>
  <si>
    <t>Minecraft Arrow</t>
  </si>
  <si>
    <r>
      <t xml:space="preserve">Moon Grenade </t>
    </r>
    <r>
      <rPr>
        <sz val="11"/>
        <color theme="1"/>
        <rFont val="Aptos Narrow"/>
        <family val="2"/>
        <scheme val="minor"/>
      </rPr>
      <t>(live)</t>
    </r>
  </si>
  <si>
    <r>
      <t>Landmine</t>
    </r>
    <r>
      <rPr>
        <sz val="11"/>
        <color theme="1"/>
        <rFont val="Aptos Narrow"/>
        <family val="2"/>
        <scheme val="minor"/>
      </rPr>
      <t xml:space="preserve"> (live, on giftee)</t>
    </r>
  </si>
  <si>
    <r>
      <t>Moonball</t>
    </r>
    <r>
      <rPr>
        <sz val="11"/>
        <color theme="1"/>
        <rFont val="Aptos Narrow"/>
        <family val="2"/>
        <scheme val="minor"/>
      </rPr>
      <t xml:space="preserve"> (single)</t>
    </r>
  </si>
  <si>
    <t>Newton Launcher</t>
  </si>
  <si>
    <t>No Drowning Damage</t>
  </si>
  <si>
    <t>No Energy Damage</t>
  </si>
  <si>
    <t>No Fall Damage</t>
  </si>
  <si>
    <t>No Fire Damage</t>
  </si>
  <si>
    <t>No Hazard Damage</t>
  </si>
  <si>
    <t>No Prop Damage</t>
  </si>
  <si>
    <t>P228</t>
  </si>
  <si>
    <t>Pistol</t>
  </si>
  <si>
    <t>Pocket Rifle</t>
  </si>
  <si>
    <t>PP19</t>
  </si>
  <si>
    <t>Pump Shotgun</t>
  </si>
  <si>
    <t>P90</t>
  </si>
  <si>
    <t>Prop Disguiser</t>
  </si>
  <si>
    <r>
      <t>Poison Station</t>
    </r>
    <r>
      <rPr>
        <sz val="11"/>
        <color theme="1"/>
        <rFont val="Aptos Narrow"/>
        <family val="2"/>
        <scheme val="minor"/>
      </rPr>
      <t xml:space="preserve"> (live)</t>
    </r>
  </si>
  <si>
    <r>
      <t>Flashbang</t>
    </r>
    <r>
      <rPr>
        <sz val="11"/>
        <color theme="1"/>
        <rFont val="Aptos Narrow"/>
        <family val="2"/>
        <scheme val="minor"/>
      </rPr>
      <t xml:space="preserve"> (live)</t>
    </r>
  </si>
  <si>
    <t>Poltergeist</t>
  </si>
  <si>
    <r>
      <t>Jarate</t>
    </r>
    <r>
      <rPr>
        <sz val="11"/>
        <color theme="1"/>
        <rFont val="Aptos Narrow"/>
        <family val="2"/>
        <scheme val="minor"/>
      </rPr>
      <t xml:space="preserve"> (live)</t>
    </r>
  </si>
  <si>
    <t>Shard of Greed</t>
  </si>
  <si>
    <r>
      <t xml:space="preserve">Pot of Greed </t>
    </r>
    <r>
      <rPr>
        <sz val="11"/>
        <color theme="1"/>
        <rFont val="Aptos Narrow"/>
        <family val="2"/>
        <scheme val="minor"/>
      </rPr>
      <t>(thrown; defaults to detective shop unless opened by shopping role)</t>
    </r>
  </si>
  <si>
    <t>Raging Bull</t>
  </si>
  <si>
    <t>Remington 1858</t>
  </si>
  <si>
    <t>Remington AE870</t>
  </si>
  <si>
    <t>Rifle</t>
  </si>
  <si>
    <t>Railgun</t>
  </si>
  <si>
    <t>RNG Launcher</t>
  </si>
  <si>
    <t>Rocket Jumper</t>
  </si>
  <si>
    <r>
      <t>Radio</t>
    </r>
    <r>
      <rPr>
        <sz val="11"/>
        <color theme="1"/>
        <rFont val="Aptos Narrow"/>
        <family val="2"/>
        <scheme val="minor"/>
      </rPr>
      <t xml:space="preserve"> (can be picked up &amp; used)</t>
    </r>
  </si>
  <si>
    <t>Flatline Detector</t>
  </si>
  <si>
    <r>
      <t>Pack-a-Punch</t>
    </r>
    <r>
      <rPr>
        <sz val="11"/>
        <color rgb="FFC00000"/>
        <rFont val="Aptos Narrow"/>
        <family val="2"/>
        <scheme val="minor"/>
      </rPr>
      <t xml:space="preserve"> (can only upgrade crowbar (yes I made sure))</t>
    </r>
  </si>
  <si>
    <r>
      <t>RCXD</t>
    </r>
    <r>
      <rPr>
        <sz val="11"/>
        <color theme="1"/>
        <rFont val="Aptos Narrow"/>
        <family val="2"/>
        <scheme val="minor"/>
      </rPr>
      <t xml:space="preserve"> (live, cannot be used/controlled so it's just a toy prop)</t>
    </r>
  </si>
  <si>
    <t>SG-550</t>
  </si>
  <si>
    <t>Shotgun</t>
  </si>
  <si>
    <r>
      <t xml:space="preserve">Silent Fox </t>
    </r>
    <r>
      <rPr>
        <sz val="11"/>
        <rFont val="Aptos Narrow"/>
        <family val="2"/>
        <scheme val="minor"/>
      </rPr>
      <t>(does not normally spawn)</t>
    </r>
  </si>
  <si>
    <r>
      <t>Striker-12</t>
    </r>
    <r>
      <rPr>
        <sz val="11"/>
        <rFont val="Aptos Narrow"/>
        <family val="2"/>
        <scheme val="minor"/>
      </rPr>
      <t xml:space="preserve"> (not normally available)</t>
    </r>
  </si>
  <si>
    <t>Prop Shark Idol</t>
  </si>
  <si>
    <t>Speedgun</t>
  </si>
  <si>
    <t>Stungun</t>
  </si>
  <si>
    <r>
      <t>Sword of Player Defeat</t>
    </r>
    <r>
      <rPr>
        <b/>
        <sz val="1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(used; i.e. no speed boost or effect on DNA)</t>
    </r>
  </si>
  <si>
    <t>Shellmet</t>
  </si>
  <si>
    <r>
      <t xml:space="preserve">Sandwich </t>
    </r>
    <r>
      <rPr>
        <sz val="11"/>
        <rFont val="Aptos Narrow"/>
        <family val="2"/>
        <scheme val="minor"/>
      </rPr>
      <t>(5 second rule for it to stop healing)</t>
    </r>
  </si>
  <si>
    <t>Seekgull in a Can</t>
  </si>
  <si>
    <t>Smoke Grenade</t>
  </si>
  <si>
    <r>
      <t>Soap</t>
    </r>
    <r>
      <rPr>
        <sz val="11"/>
        <color theme="1"/>
        <rFont val="Aptos Narrow"/>
        <family val="2"/>
        <scheme val="minor"/>
      </rPr>
      <t xml:space="preserve"> (directly affixed below giftee)</t>
    </r>
  </si>
  <si>
    <r>
      <t>Spring Mine</t>
    </r>
    <r>
      <rPr>
        <sz val="11"/>
        <color theme="1"/>
        <rFont val="Aptos Narrow"/>
        <family val="2"/>
        <scheme val="minor"/>
      </rPr>
      <t xml:space="preserve"> (live)</t>
    </r>
  </si>
  <si>
    <r>
      <t xml:space="preserve">Super Discombob </t>
    </r>
    <r>
      <rPr>
        <sz val="11"/>
        <color theme="1"/>
        <rFont val="Aptos Narrow"/>
        <family val="2"/>
        <scheme val="minor"/>
      </rPr>
      <t>(live, more than enough time to escape)</t>
    </r>
  </si>
  <si>
    <t>Super Smoke Grenade</t>
  </si>
  <si>
    <t>TEC-9</t>
  </si>
  <si>
    <t>TMP</t>
  </si>
  <si>
    <t>Teleporter</t>
  </si>
  <si>
    <t>Thermal Rifle</t>
  </si>
  <si>
    <t>Thruster Gun</t>
  </si>
  <si>
    <r>
      <t>Teleport Grenade</t>
    </r>
    <r>
      <rPr>
        <sz val="11"/>
        <color theme="1"/>
        <rFont val="Aptos Narrow"/>
        <family val="2"/>
        <scheme val="minor"/>
      </rPr>
      <t xml:space="preserve"> (live, random direction)</t>
    </r>
  </si>
  <si>
    <t>Teleport Grenade</t>
  </si>
  <si>
    <r>
      <t>Turret</t>
    </r>
    <r>
      <rPr>
        <sz val="11"/>
        <color theme="1"/>
        <rFont val="Aptos Narrow"/>
        <family val="2"/>
        <scheme val="minor"/>
      </rPr>
      <t xml:space="preserve"> (live)</t>
    </r>
  </si>
  <si>
    <t>UMP Prototype</t>
  </si>
  <si>
    <t>U.S DMR</t>
  </si>
  <si>
    <t>USP</t>
  </si>
  <si>
    <t>Winchester 1873</t>
  </si>
  <si>
    <t>Weapon Jammer</t>
  </si>
  <si>
    <t>Freeze Gun</t>
  </si>
  <si>
    <t>Homerun Bat</t>
  </si>
  <si>
    <t>Stamin-Up</t>
  </si>
  <si>
    <t>Speed Cola</t>
  </si>
  <si>
    <t>Wormpack</t>
  </si>
  <si>
    <r>
      <t xml:space="preserve">Visualizer </t>
    </r>
    <r>
      <rPr>
        <sz val="11"/>
        <color theme="1"/>
        <rFont val="Aptos Narrow"/>
        <family val="2"/>
        <scheme val="minor"/>
      </rPr>
      <t>(live, giftee can pick up)</t>
    </r>
  </si>
  <si>
    <t>Wormhole Vent</t>
  </si>
  <si>
    <r>
      <t>Ragnana</t>
    </r>
    <r>
      <rPr>
        <sz val="11"/>
        <color theme="1"/>
        <rFont val="Aptos Narrow"/>
        <family val="2"/>
        <scheme val="minor"/>
      </rPr>
      <t xml:space="preserve"> (live, can tell due to "super rare"/"naughty" chat notif + spawning at a 90 degree angle)</t>
    </r>
  </si>
  <si>
    <r>
      <t xml:space="preserve">Zombie Ball </t>
    </r>
    <r>
      <rPr>
        <sz val="11"/>
        <color theme="1"/>
        <rFont val="Aptos Narrow"/>
        <family val="2"/>
        <scheme val="minor"/>
      </rPr>
      <t>(has no effect &amp; disappears on ground contact, but looks cool)</t>
    </r>
  </si>
  <si>
    <t>Plush Turtle</t>
  </si>
  <si>
    <t>Toy Train</t>
  </si>
  <si>
    <t>Multiplier</t>
  </si>
  <si>
    <t>Shop</t>
  </si>
  <si>
    <t>Floor</t>
  </si>
  <si>
    <t>Special</t>
  </si>
  <si>
    <t>Special - SENTs / NPCs</t>
  </si>
  <si>
    <t>Cnt</t>
  </si>
  <si>
    <t>Companion Doll</t>
  </si>
  <si>
    <t>Companion Doll (Big)</t>
  </si>
  <si>
    <t>Soccer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</si>
</sst>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00"/>
    <numFmt numFmtId="167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/>
    <xf numFmtId="164" fontId="0" fillId="0" borderId="0" xfId="0" applyNumberFormat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2" fontId="1" fillId="0" borderId="1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3" xfId="0" applyBorder="1"/>
    <xf numFmtId="165" fontId="0" fillId="0" borderId="6" xfId="0" applyNumberFormat="1" applyBorder="1"/>
    <xf numFmtId="166" fontId="0" fillId="0" borderId="6" xfId="0" applyNumberFormat="1" applyBorder="1"/>
    <xf numFmtId="0" fontId="1" fillId="0" borderId="11" xfId="0" applyFont="1" applyBorder="1"/>
    <xf numFmtId="0" fontId="0" fillId="0" borderId="12" xfId="0" applyBorder="1"/>
    <xf numFmtId="0" fontId="0" fillId="4" borderId="0" xfId="0" applyFill="1"/>
    <xf numFmtId="165" fontId="0" fillId="4" borderId="6" xfId="0" applyNumberFormat="1" applyFill="1" applyBorder="1"/>
    <xf numFmtId="165" fontId="1" fillId="0" borderId="8" xfId="0" applyNumberFormat="1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165" fontId="0" fillId="4" borderId="4" xfId="0" applyNumberFormat="1" applyFill="1" applyBorder="1" applyAlignment="1">
      <alignment horizontal="right"/>
    </xf>
    <xf numFmtId="165" fontId="0" fillId="4" borderId="8" xfId="0" applyNumberFormat="1" applyFill="1" applyBorder="1"/>
    <xf numFmtId="0" fontId="3" fillId="0" borderId="0" xfId="0" applyFont="1"/>
    <xf numFmtId="0" fontId="4" fillId="0" borderId="0" xfId="0" quotePrefix="1" applyFont="1"/>
    <xf numFmtId="0" fontId="5" fillId="0" borderId="0" xfId="0" quotePrefix="1" applyFont="1"/>
    <xf numFmtId="0" fontId="6" fillId="0" borderId="0" xfId="0" applyFont="1"/>
    <xf numFmtId="0" fontId="6" fillId="0" borderId="0" xfId="0" quotePrefix="1" applyFont="1"/>
    <xf numFmtId="0" fontId="4" fillId="0" borderId="0" xfId="0" applyFont="1"/>
    <xf numFmtId="0" fontId="5" fillId="0" borderId="0" xfId="0" applyFont="1"/>
    <xf numFmtId="167" fontId="0" fillId="0" borderId="6" xfId="0" applyNumberFormat="1" applyBorder="1"/>
    <xf numFmtId="0" fontId="0" fillId="0" borderId="0" xfId="0" applyFont="1"/>
    <xf numFmtId="0" fontId="0" fillId="0" borderId="6" xfId="0" applyFont="1" applyBorder="1"/>
    <xf numFmtId="10" fontId="0" fillId="0" borderId="6" xfId="0" applyNumberFormat="1" applyBorder="1"/>
    <xf numFmtId="10" fontId="0" fillId="0" borderId="8" xfId="0" applyNumberFormat="1" applyBorder="1"/>
    <xf numFmtId="0" fontId="0" fillId="2" borderId="3" xfId="0" applyFill="1" applyBorder="1"/>
    <xf numFmtId="10" fontId="0" fillId="0" borderId="0" xfId="0" applyNumberFormat="1"/>
    <xf numFmtId="10" fontId="0" fillId="0" borderId="4" xfId="0" applyNumberFormat="1" applyBorder="1"/>
    <xf numFmtId="165" fontId="0" fillId="0" borderId="12" xfId="0" applyNumberFormat="1" applyBorder="1"/>
    <xf numFmtId="165" fontId="0" fillId="0" borderId="0" xfId="0" applyNumberFormat="1" applyBorder="1"/>
    <xf numFmtId="165" fontId="0" fillId="0" borderId="1" xfId="0" applyNumberFormat="1" applyBorder="1"/>
    <xf numFmtId="0" fontId="1" fillId="3" borderId="3" xfId="0" applyFont="1" applyFill="1" applyBorder="1"/>
    <xf numFmtId="1" fontId="0" fillId="0" borderId="12" xfId="0" applyNumberFormat="1" applyBorder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8C16-2385-408F-9BE8-45A9CB186536}">
  <dimension ref="A1:S161"/>
  <sheetViews>
    <sheetView tabSelected="1" zoomScale="105" zoomScaleNormal="110" workbookViewId="0">
      <selection activeCell="H18" sqref="H18"/>
    </sheetView>
  </sheetViews>
  <sheetFormatPr defaultRowHeight="14.4" x14ac:dyDescent="0.3"/>
  <cols>
    <col min="1" max="1" width="39.88671875" style="1" customWidth="1"/>
    <col min="2" max="2" width="8.33203125" customWidth="1"/>
    <col min="3" max="3" width="10.88671875" customWidth="1"/>
    <col min="4" max="4" width="8.88671875" style="16"/>
    <col min="6" max="6" width="16.21875" customWidth="1"/>
    <col min="7" max="7" width="14.6640625" customWidth="1"/>
    <col min="8" max="8" width="23.5546875" style="16" customWidth="1"/>
    <col min="9" max="9" width="15.44140625" customWidth="1"/>
    <col min="10" max="10" width="4.109375" customWidth="1"/>
    <col min="11" max="11" width="11.88671875" customWidth="1"/>
    <col min="12" max="12" width="8.33203125" customWidth="1"/>
    <col min="13" max="13" width="16.21875" customWidth="1"/>
    <col min="14" max="14" width="2.5546875" customWidth="1"/>
    <col min="15" max="15" width="12.109375" customWidth="1"/>
    <col min="16" max="16" width="4.88671875" customWidth="1"/>
    <col min="17" max="17" width="9.33203125" customWidth="1"/>
    <col min="18" max="18" width="12.33203125" customWidth="1"/>
    <col min="19" max="19" width="16.77734375" customWidth="1"/>
  </cols>
  <sheetData>
    <row r="1" spans="1:19" s="3" customFormat="1" x14ac:dyDescent="0.3">
      <c r="A1" s="4" t="s">
        <v>0</v>
      </c>
      <c r="B1" s="4" t="s">
        <v>6</v>
      </c>
      <c r="C1" s="4" t="s">
        <v>34</v>
      </c>
      <c r="D1" s="26" t="s">
        <v>1</v>
      </c>
      <c r="F1" s="4" t="s">
        <v>33</v>
      </c>
      <c r="G1" s="4" t="s">
        <v>40</v>
      </c>
      <c r="H1" s="26" t="s">
        <v>41</v>
      </c>
      <c r="I1" s="4" t="s">
        <v>37</v>
      </c>
    </row>
    <row r="2" spans="1:19" x14ac:dyDescent="0.3">
      <c r="A2" s="40" t="s">
        <v>70</v>
      </c>
      <c r="B2" s="1"/>
      <c r="C2" s="1"/>
      <c r="D2" s="18"/>
      <c r="F2" s="1"/>
      <c r="G2" s="1"/>
      <c r="H2" s="18"/>
      <c r="I2" s="1"/>
    </row>
    <row r="3" spans="1:19" x14ac:dyDescent="0.3">
      <c r="A3" s="43" t="s">
        <v>195</v>
      </c>
      <c r="B3">
        <f t="shared" ref="B3:B4" si="0">$Q$12</f>
        <v>1.25</v>
      </c>
      <c r="C3" s="48">
        <v>1</v>
      </c>
      <c r="D3" s="49">
        <v>4</v>
      </c>
      <c r="F3" s="12">
        <f t="shared" ref="F3:F4" si="1">((D3/$K$17) * ($M$11+$M$14) + 1) / 2</f>
        <v>0.64963353699581483</v>
      </c>
      <c r="G3" s="12">
        <f t="shared" ref="G3:G4" si="2">F3/C3</f>
        <v>0.64963353699581483</v>
      </c>
      <c r="H3" s="29">
        <f t="shared" ref="H3:H4" si="3">MAX(0, G3*B3)</f>
        <v>0.81204192124476848</v>
      </c>
      <c r="I3" s="12">
        <f t="shared" ref="I3:I4" si="4">100*H3/$M$17</f>
        <v>1.7653172003313997</v>
      </c>
    </row>
    <row r="4" spans="1:19" x14ac:dyDescent="0.3">
      <c r="A4" s="43" t="s">
        <v>196</v>
      </c>
      <c r="B4">
        <f t="shared" si="0"/>
        <v>1.25</v>
      </c>
      <c r="C4" s="48">
        <v>5</v>
      </c>
      <c r="D4" s="18">
        <v>4</v>
      </c>
      <c r="F4" s="12">
        <f t="shared" si="1"/>
        <v>0.64963353699581483</v>
      </c>
      <c r="G4" s="12">
        <f t="shared" si="2"/>
        <v>0.12992670739916296</v>
      </c>
      <c r="H4" s="29">
        <f t="shared" si="3"/>
        <v>0.16240838424895371</v>
      </c>
      <c r="I4" s="12">
        <f t="shared" si="4"/>
        <v>0.35306344006627999</v>
      </c>
    </row>
    <row r="5" spans="1:19" x14ac:dyDescent="0.3">
      <c r="A5" s="43" t="s">
        <v>187</v>
      </c>
      <c r="B5">
        <f>$Q$12</f>
        <v>1.25</v>
      </c>
      <c r="C5" s="48">
        <v>1</v>
      </c>
      <c r="D5" s="49">
        <v>9</v>
      </c>
      <c r="F5" s="12">
        <f>((D5/$K$17) * ($M$11+$M$14) + 1) / 2</f>
        <v>0.8366754582405832</v>
      </c>
      <c r="G5" s="12">
        <f>F5/C5</f>
        <v>0.8366754582405832</v>
      </c>
      <c r="H5" s="29">
        <f>MAX(0, G5*B5)</f>
        <v>1.045844322800729</v>
      </c>
      <c r="I5" s="12">
        <f>100*H5/$M$17</f>
        <v>2.2735857886240449</v>
      </c>
    </row>
    <row r="6" spans="1:19" x14ac:dyDescent="0.3">
      <c r="A6" s="43" t="s">
        <v>100</v>
      </c>
      <c r="B6">
        <f>$Q$12</f>
        <v>1.25</v>
      </c>
      <c r="C6">
        <v>1</v>
      </c>
      <c r="D6" s="16">
        <v>2</v>
      </c>
      <c r="F6" s="12">
        <f>((D6/$K$17) * ($M$11+$M$14) + 1) / 2</f>
        <v>0.57481676849790742</v>
      </c>
      <c r="G6" s="12">
        <f>F6/C6</f>
        <v>0.57481676849790742</v>
      </c>
      <c r="H6" s="29">
        <f>MAX(0, G6*B6)</f>
        <v>0.71852096062238424</v>
      </c>
      <c r="I6" s="12">
        <f>100*H6/$M$17</f>
        <v>1.5620097650143416</v>
      </c>
    </row>
    <row r="7" spans="1:19" x14ac:dyDescent="0.3">
      <c r="A7" s="43" t="s">
        <v>153</v>
      </c>
      <c r="B7">
        <f>$Q$12</f>
        <v>1.25</v>
      </c>
      <c r="C7">
        <v>5</v>
      </c>
      <c r="D7" s="16">
        <v>2</v>
      </c>
      <c r="F7" s="12">
        <f>((D7/$K$17) * ($M$11+$M$14) + 1) / 2</f>
        <v>0.57481676849790742</v>
      </c>
      <c r="G7" s="12">
        <f>F7/C7</f>
        <v>0.11496335369958148</v>
      </c>
      <c r="H7" s="29">
        <f>MAX(0, G7*B7)</f>
        <v>0.14370419212447685</v>
      </c>
      <c r="I7" s="12">
        <f>100*H7/$M$17</f>
        <v>0.31240195300286833</v>
      </c>
    </row>
    <row r="8" spans="1:19" x14ac:dyDescent="0.3">
      <c r="A8" s="43" t="s">
        <v>197</v>
      </c>
      <c r="B8">
        <f>$Q$12</f>
        <v>1.25</v>
      </c>
      <c r="C8">
        <v>1</v>
      </c>
      <c r="D8" s="16">
        <v>0</v>
      </c>
      <c r="F8" s="12">
        <f>((D8/$K$17) * ($M$11+$M$14) + 1) / 2</f>
        <v>0.5</v>
      </c>
      <c r="G8" s="12">
        <f>F8/C8</f>
        <v>0.5</v>
      </c>
      <c r="H8" s="29">
        <f>MAX(0, G8*B8)</f>
        <v>0.625</v>
      </c>
      <c r="I8" s="12">
        <f>100*H8/$M$17</f>
        <v>1.3587023296972833</v>
      </c>
    </row>
    <row r="9" spans="1:19" x14ac:dyDescent="0.3">
      <c r="A9" s="43" t="s">
        <v>188</v>
      </c>
      <c r="B9">
        <f>$Q$12</f>
        <v>1.25</v>
      </c>
      <c r="C9">
        <v>1</v>
      </c>
      <c r="D9" s="16">
        <v>8</v>
      </c>
      <c r="F9" s="12">
        <f>((D9/$K$17) * ($M$11+$M$14) + 1) / 2</f>
        <v>0.79926707399162955</v>
      </c>
      <c r="G9" s="12">
        <f>F9/C9</f>
        <v>0.79926707399162955</v>
      </c>
      <c r="H9" s="29">
        <f>MAX(0, G9*B9)</f>
        <v>0.99908384248953697</v>
      </c>
      <c r="I9" s="12">
        <f>100*H9/$M$17</f>
        <v>2.1719320709655161</v>
      </c>
    </row>
    <row r="10" spans="1:19" x14ac:dyDescent="0.3">
      <c r="A10" s="1" t="s">
        <v>2</v>
      </c>
      <c r="B10">
        <f>$Q$12</f>
        <v>1.25</v>
      </c>
      <c r="C10">
        <v>1</v>
      </c>
      <c r="D10" s="16">
        <v>-2</v>
      </c>
      <c r="F10" s="12">
        <f>((D10/$K$17) * ($M$11+$M$14) + 1) / 2</f>
        <v>0.42518323150209258</v>
      </c>
      <c r="G10" s="12">
        <f>F10/C10</f>
        <v>0.42518323150209258</v>
      </c>
      <c r="H10" s="29">
        <f>MAX(0, G10*B10)</f>
        <v>0.53147903937761576</v>
      </c>
      <c r="I10" s="12">
        <f>100*H10/$M$17</f>
        <v>1.1553948943802252</v>
      </c>
      <c r="K10" s="23" t="s">
        <v>36</v>
      </c>
      <c r="L10" s="30" t="s">
        <v>27</v>
      </c>
      <c r="M10" s="24" t="s">
        <v>32</v>
      </c>
    </row>
    <row r="11" spans="1:19" x14ac:dyDescent="0.3">
      <c r="F11" s="12"/>
      <c r="G11" s="12"/>
      <c r="H11" s="29"/>
      <c r="I11" s="12"/>
      <c r="K11" s="27">
        <v>353</v>
      </c>
      <c r="L11" s="32">
        <f>MIN(ABS(359-$K$11), 365-ABS(359-$K$11))</f>
        <v>6</v>
      </c>
      <c r="M11" s="33">
        <f>MAX(0, 'Christmas Factor Calc'!T4 - ($L$11/'Christmas Factor Calc'!U4)) ^ 'Christmas Factor Calc'!T7 - 'Christmas Factor Calc'!U7</f>
        <v>0.77594546275685161</v>
      </c>
      <c r="O11" s="52"/>
      <c r="P11" s="58" t="s">
        <v>194</v>
      </c>
      <c r="Q11" s="23" t="s">
        <v>189</v>
      </c>
      <c r="R11" s="30" t="s">
        <v>38</v>
      </c>
      <c r="S11" s="24" t="s">
        <v>37</v>
      </c>
    </row>
    <row r="12" spans="1:19" x14ac:dyDescent="0.3">
      <c r="A12" s="40" t="s">
        <v>45</v>
      </c>
      <c r="I12" s="12"/>
      <c r="K12" s="15"/>
      <c r="M12" s="28"/>
      <c r="O12" s="35" t="s">
        <v>70</v>
      </c>
      <c r="P12" s="59">
        <f>COUNT(PropWeight)</f>
        <v>8</v>
      </c>
      <c r="Q12" s="27">
        <v>1.25</v>
      </c>
      <c r="R12" s="55">
        <f>SUM(PropWeight)</f>
        <v>5.0380826629084643</v>
      </c>
      <c r="S12" s="54">
        <f>R12/$M$17</f>
        <v>0.10952407442081957</v>
      </c>
    </row>
    <row r="13" spans="1:19" x14ac:dyDescent="0.3">
      <c r="A13" s="1" t="s">
        <v>43</v>
      </c>
      <c r="B13">
        <f>$Q$13</f>
        <v>1</v>
      </c>
      <c r="C13">
        <v>1</v>
      </c>
      <c r="D13" s="16">
        <v>0</v>
      </c>
      <c r="F13" s="12">
        <f t="shared" ref="F13:F53" si="5">((D13/$K$17) * ($M$11+$M$14) + 1) / 2</f>
        <v>0.5</v>
      </c>
      <c r="G13" s="12">
        <f t="shared" ref="G13:G20" si="6">F13/C13</f>
        <v>0.5</v>
      </c>
      <c r="H13" s="29">
        <f t="shared" ref="H13:H15" si="7">MAX(0, G13*B13)</f>
        <v>0.5</v>
      </c>
      <c r="I13" s="12">
        <f t="shared" ref="I13:I54" si="8">100*H13/$M$17</f>
        <v>1.0869618637578267</v>
      </c>
      <c r="K13" s="25" t="s">
        <v>8</v>
      </c>
      <c r="L13" s="4"/>
      <c r="M13" s="34" t="s">
        <v>30</v>
      </c>
      <c r="O13" s="36" t="s">
        <v>191</v>
      </c>
      <c r="P13" s="60">
        <f>COUNT(FloorWeight)</f>
        <v>42</v>
      </c>
      <c r="Q13" s="15">
        <v>1</v>
      </c>
      <c r="R13" s="56">
        <f>SUM(FloorWeight)</f>
        <v>21.370612715528452</v>
      </c>
      <c r="S13" s="50">
        <f t="shared" ref="S13:S15" si="9">R13/$M$17</f>
        <v>0.46458082053835031</v>
      </c>
    </row>
    <row r="14" spans="1:19" x14ac:dyDescent="0.3">
      <c r="A14" s="1" t="s">
        <v>47</v>
      </c>
      <c r="B14">
        <f>$Q$13</f>
        <v>1</v>
      </c>
      <c r="C14">
        <v>1</v>
      </c>
      <c r="D14" s="16">
        <v>-1</v>
      </c>
      <c r="F14" s="12">
        <f t="shared" si="5"/>
        <v>0.46259161575104629</v>
      </c>
      <c r="G14" s="12">
        <f t="shared" si="6"/>
        <v>0.46259161575104629</v>
      </c>
      <c r="H14" s="16">
        <f t="shared" si="7"/>
        <v>0.46259161575104629</v>
      </c>
      <c r="I14" s="12">
        <f t="shared" si="8"/>
        <v>1.0056388896310033</v>
      </c>
      <c r="K14" s="27">
        <v>0</v>
      </c>
      <c r="L14" s="31"/>
      <c r="M14" s="38">
        <f xml:space="preserve"> ((($K$14 + 'Score Factor Calc'!$R$7) / 'Score Factor Calc'!$R$4) * ABS(($K$14 + 'Score Factor Calc'!$R$7) / 'Score Factor Calc'!$R$4))</f>
        <v>-2.7777777777777776E-2</v>
      </c>
      <c r="O14" s="36" t="s">
        <v>192</v>
      </c>
      <c r="P14" s="60">
        <f>COUNT(SpecialWeight)</f>
        <v>45</v>
      </c>
      <c r="Q14" s="15">
        <v>1</v>
      </c>
      <c r="R14" s="56">
        <f>SUM(SpecialWeight)</f>
        <v>11.260087712245975</v>
      </c>
      <c r="S14" s="50">
        <f t="shared" si="9"/>
        <v>0.24478571851558975</v>
      </c>
    </row>
    <row r="15" spans="1:19" x14ac:dyDescent="0.3">
      <c r="A15" s="1" t="s">
        <v>48</v>
      </c>
      <c r="B15">
        <f>$Q$13</f>
        <v>1</v>
      </c>
      <c r="C15">
        <v>1</v>
      </c>
      <c r="D15" s="16">
        <v>1</v>
      </c>
      <c r="F15" s="12">
        <f t="shared" si="5"/>
        <v>0.53740838424895365</v>
      </c>
      <c r="G15" s="12">
        <f t="shared" si="6"/>
        <v>0.53740838424895365</v>
      </c>
      <c r="H15" s="16">
        <f t="shared" si="7"/>
        <v>0.53740838424895365</v>
      </c>
      <c r="I15" s="12">
        <f t="shared" si="8"/>
        <v>1.1682848378846498</v>
      </c>
      <c r="K15" s="15"/>
      <c r="M15" s="16"/>
      <c r="O15" s="37" t="s">
        <v>190</v>
      </c>
      <c r="P15" s="10">
        <f>COUNT(ShopWeight) + COUNT(ShopItemWeight)</f>
        <v>56</v>
      </c>
      <c r="Q15" s="19">
        <v>0.5</v>
      </c>
      <c r="R15" s="57">
        <f>SUM(ShopWeight) + SUM(ShopItemWeight)</f>
        <v>8.3309908361969214</v>
      </c>
      <c r="S15" s="51">
        <f t="shared" si="9"/>
        <v>0.18110938652523961</v>
      </c>
    </row>
    <row r="16" spans="1:19" x14ac:dyDescent="0.3">
      <c r="A16" s="1" t="s">
        <v>57</v>
      </c>
      <c r="B16">
        <f>$Q$13</f>
        <v>1</v>
      </c>
      <c r="C16">
        <v>1</v>
      </c>
      <c r="D16" s="16">
        <v>-1</v>
      </c>
      <c r="F16" s="12">
        <f t="shared" si="5"/>
        <v>0.46259161575104629</v>
      </c>
      <c r="G16" s="12">
        <f t="shared" si="6"/>
        <v>0.46259161575104629</v>
      </c>
      <c r="H16" s="16">
        <f t="shared" ref="H16:H18" si="10">MAX(0, G16*B16)</f>
        <v>0.46259161575104629</v>
      </c>
      <c r="I16" s="12">
        <f t="shared" si="8"/>
        <v>1.0056388896310033</v>
      </c>
      <c r="K16" s="25" t="s">
        <v>35</v>
      </c>
      <c r="L16" s="4"/>
      <c r="M16" s="26" t="s">
        <v>38</v>
      </c>
    </row>
    <row r="17" spans="1:13" x14ac:dyDescent="0.3">
      <c r="A17" s="1" t="s">
        <v>66</v>
      </c>
      <c r="B17">
        <f>$Q$13</f>
        <v>1</v>
      </c>
      <c r="C17">
        <v>1</v>
      </c>
      <c r="D17" s="16">
        <v>3</v>
      </c>
      <c r="F17" s="12">
        <f t="shared" si="5"/>
        <v>0.61222515274686107</v>
      </c>
      <c r="G17" s="12">
        <f t="shared" si="6"/>
        <v>0.61222515274686107</v>
      </c>
      <c r="H17" s="16">
        <f t="shared" si="10"/>
        <v>0.61222515274686107</v>
      </c>
      <c r="I17" s="12">
        <f t="shared" si="8"/>
        <v>1.3309307861382966</v>
      </c>
      <c r="K17" s="19">
        <v>10</v>
      </c>
      <c r="L17" s="3"/>
      <c r="M17" s="39">
        <f>SUM(H:H)</f>
        <v>45.999773926879847</v>
      </c>
    </row>
    <row r="18" spans="1:13" x14ac:dyDescent="0.3">
      <c r="A18" s="1" t="s">
        <v>67</v>
      </c>
      <c r="B18">
        <f>$Q$13</f>
        <v>1</v>
      </c>
      <c r="C18">
        <v>1</v>
      </c>
      <c r="D18" s="16">
        <v>0</v>
      </c>
      <c r="F18" s="12">
        <f t="shared" si="5"/>
        <v>0.5</v>
      </c>
      <c r="G18" s="12">
        <f t="shared" si="6"/>
        <v>0.5</v>
      </c>
      <c r="H18" s="16">
        <f t="shared" si="10"/>
        <v>0.5</v>
      </c>
      <c r="I18" s="12">
        <f t="shared" si="8"/>
        <v>1.0869618637578267</v>
      </c>
    </row>
    <row r="19" spans="1:13" x14ac:dyDescent="0.3">
      <c r="A19" s="1" t="s">
        <v>68</v>
      </c>
      <c r="B19">
        <f>$Q$13</f>
        <v>1</v>
      </c>
      <c r="C19">
        <v>1</v>
      </c>
      <c r="D19" s="16">
        <v>0</v>
      </c>
      <c r="F19" s="12">
        <f t="shared" si="5"/>
        <v>0.5</v>
      </c>
      <c r="G19" s="12">
        <f t="shared" si="6"/>
        <v>0.5</v>
      </c>
      <c r="H19" s="16">
        <f t="shared" ref="H19" si="11">MAX(0, G19*B19)</f>
        <v>0.5</v>
      </c>
      <c r="I19" s="12">
        <f t="shared" si="8"/>
        <v>1.0869618637578267</v>
      </c>
    </row>
    <row r="20" spans="1:13" x14ac:dyDescent="0.3">
      <c r="A20" s="1" t="s">
        <v>74</v>
      </c>
      <c r="B20">
        <f>$Q$13</f>
        <v>1</v>
      </c>
      <c r="C20">
        <v>1</v>
      </c>
      <c r="D20" s="16">
        <v>1</v>
      </c>
      <c r="F20" s="12">
        <f t="shared" si="5"/>
        <v>0.53740838424895365</v>
      </c>
      <c r="G20" s="12">
        <f t="shared" si="6"/>
        <v>0.53740838424895365</v>
      </c>
      <c r="H20" s="16">
        <f t="shared" ref="H20" si="12">MAX(0, G20*B20)</f>
        <v>0.53740838424895365</v>
      </c>
      <c r="I20" s="12">
        <f t="shared" si="8"/>
        <v>1.1682848378846498</v>
      </c>
    </row>
    <row r="21" spans="1:13" x14ac:dyDescent="0.3">
      <c r="A21" s="1" t="s">
        <v>77</v>
      </c>
      <c r="B21">
        <f>$Q$13</f>
        <v>1</v>
      </c>
      <c r="C21">
        <v>1</v>
      </c>
      <c r="D21" s="16">
        <v>1</v>
      </c>
      <c r="F21" s="12">
        <f t="shared" si="5"/>
        <v>0.53740838424895365</v>
      </c>
      <c r="G21" s="12">
        <f t="shared" ref="G21:G24" si="13">F21/C21</f>
        <v>0.53740838424895365</v>
      </c>
      <c r="H21" s="16">
        <f t="shared" ref="H21:H23" si="14">MAX(0, G21*B21)</f>
        <v>0.53740838424895365</v>
      </c>
      <c r="I21" s="12">
        <f t="shared" si="8"/>
        <v>1.1682848378846498</v>
      </c>
    </row>
    <row r="22" spans="1:13" x14ac:dyDescent="0.3">
      <c r="A22" s="1" t="s">
        <v>78</v>
      </c>
      <c r="B22">
        <f>$Q$13</f>
        <v>1</v>
      </c>
      <c r="C22">
        <v>1</v>
      </c>
      <c r="D22" s="16">
        <v>1</v>
      </c>
      <c r="F22" s="12">
        <f t="shared" si="5"/>
        <v>0.53740838424895365</v>
      </c>
      <c r="G22" s="12">
        <f t="shared" si="13"/>
        <v>0.53740838424895365</v>
      </c>
      <c r="H22" s="16">
        <f t="shared" si="14"/>
        <v>0.53740838424895365</v>
      </c>
      <c r="I22" s="12">
        <f t="shared" si="8"/>
        <v>1.1682848378846498</v>
      </c>
    </row>
    <row r="23" spans="1:13" x14ac:dyDescent="0.3">
      <c r="A23" s="1" t="s">
        <v>83</v>
      </c>
      <c r="B23">
        <f>$Q$13</f>
        <v>1</v>
      </c>
      <c r="C23">
        <v>1</v>
      </c>
      <c r="D23" s="16">
        <v>0</v>
      </c>
      <c r="F23" s="12">
        <f t="shared" si="5"/>
        <v>0.5</v>
      </c>
      <c r="G23" s="12">
        <f t="shared" si="13"/>
        <v>0.5</v>
      </c>
      <c r="H23" s="16">
        <f t="shared" si="14"/>
        <v>0.5</v>
      </c>
      <c r="I23" s="12">
        <f t="shared" si="8"/>
        <v>1.0869618637578267</v>
      </c>
    </row>
    <row r="24" spans="1:13" x14ac:dyDescent="0.3">
      <c r="A24" s="1" t="s">
        <v>88</v>
      </c>
      <c r="B24">
        <f>$Q$13</f>
        <v>1</v>
      </c>
      <c r="C24">
        <v>1</v>
      </c>
      <c r="D24" s="16">
        <v>-1</v>
      </c>
      <c r="F24" s="12">
        <f t="shared" si="5"/>
        <v>0.46259161575104629</v>
      </c>
      <c r="G24" s="12">
        <f t="shared" si="13"/>
        <v>0.46259161575104629</v>
      </c>
      <c r="H24" s="16">
        <f t="shared" ref="H24" si="15">MAX(0, G24*B24)</f>
        <v>0.46259161575104629</v>
      </c>
      <c r="I24" s="12">
        <f t="shared" si="8"/>
        <v>1.0056388896310033</v>
      </c>
    </row>
    <row r="25" spans="1:13" x14ac:dyDescent="0.3">
      <c r="A25" s="1" t="s">
        <v>92</v>
      </c>
      <c r="B25">
        <f>$Q$13</f>
        <v>1</v>
      </c>
      <c r="C25">
        <v>1</v>
      </c>
      <c r="D25" s="16">
        <v>0</v>
      </c>
      <c r="F25" s="12">
        <f t="shared" si="5"/>
        <v>0.5</v>
      </c>
      <c r="G25" s="12">
        <f t="shared" ref="G25" si="16">F25/C25</f>
        <v>0.5</v>
      </c>
      <c r="H25" s="16">
        <f t="shared" ref="H25" si="17">MAX(0, G25*B25)</f>
        <v>0.5</v>
      </c>
      <c r="I25" s="12">
        <f t="shared" si="8"/>
        <v>1.0869618637578267</v>
      </c>
      <c r="M25" s="53"/>
    </row>
    <row r="26" spans="1:13" x14ac:dyDescent="0.3">
      <c r="A26" s="1" t="s">
        <v>93</v>
      </c>
      <c r="B26">
        <f>$Q$13</f>
        <v>1</v>
      </c>
      <c r="C26">
        <v>1</v>
      </c>
      <c r="D26" s="16">
        <v>0</v>
      </c>
      <c r="F26" s="12">
        <f t="shared" si="5"/>
        <v>0.5</v>
      </c>
      <c r="G26" s="12">
        <f t="shared" ref="G26:G28" si="18">F26/C26</f>
        <v>0.5</v>
      </c>
      <c r="H26" s="16">
        <f t="shared" ref="H26:H28" si="19">MAX(0, G26*B26)</f>
        <v>0.5</v>
      </c>
      <c r="I26" s="12">
        <f t="shared" si="8"/>
        <v>1.0869618637578267</v>
      </c>
    </row>
    <row r="27" spans="1:13" x14ac:dyDescent="0.3">
      <c r="A27" s="1" t="s">
        <v>98</v>
      </c>
      <c r="B27">
        <f>$Q$13</f>
        <v>1</v>
      </c>
      <c r="C27">
        <v>1</v>
      </c>
      <c r="D27" s="16">
        <v>0</v>
      </c>
      <c r="F27" s="12">
        <f t="shared" si="5"/>
        <v>0.5</v>
      </c>
      <c r="G27" s="12">
        <f t="shared" si="18"/>
        <v>0.5</v>
      </c>
      <c r="H27" s="16">
        <f t="shared" si="19"/>
        <v>0.5</v>
      </c>
      <c r="I27" s="12">
        <f t="shared" si="8"/>
        <v>1.0869618637578267</v>
      </c>
    </row>
    <row r="28" spans="1:13" x14ac:dyDescent="0.3">
      <c r="A28" s="1" t="s">
        <v>102</v>
      </c>
      <c r="B28">
        <f>$Q$13</f>
        <v>1</v>
      </c>
      <c r="C28">
        <v>1</v>
      </c>
      <c r="D28" s="16">
        <v>1</v>
      </c>
      <c r="F28" s="12">
        <f t="shared" si="5"/>
        <v>0.53740838424895365</v>
      </c>
      <c r="G28" s="12">
        <f t="shared" si="18"/>
        <v>0.53740838424895365</v>
      </c>
      <c r="H28" s="16">
        <f t="shared" si="19"/>
        <v>0.53740838424895365</v>
      </c>
      <c r="I28" s="12">
        <f t="shared" si="8"/>
        <v>1.1682848378846498</v>
      </c>
    </row>
    <row r="29" spans="1:13" x14ac:dyDescent="0.3">
      <c r="A29" s="1" t="s">
        <v>103</v>
      </c>
      <c r="B29">
        <f>$Q$13</f>
        <v>1</v>
      </c>
      <c r="C29">
        <v>1</v>
      </c>
      <c r="D29" s="16">
        <v>1</v>
      </c>
      <c r="F29" s="12">
        <f t="shared" si="5"/>
        <v>0.53740838424895365</v>
      </c>
      <c r="G29" s="12">
        <f t="shared" ref="G29:G31" si="20">F29/C29</f>
        <v>0.53740838424895365</v>
      </c>
      <c r="H29" s="16">
        <f t="shared" ref="H29:H31" si="21">MAX(0, G29*B29)</f>
        <v>0.53740838424895365</v>
      </c>
      <c r="I29" s="12">
        <f t="shared" si="8"/>
        <v>1.1682848378846498</v>
      </c>
    </row>
    <row r="30" spans="1:13" x14ac:dyDescent="0.3">
      <c r="A30" s="1" t="s">
        <v>105</v>
      </c>
      <c r="B30">
        <f>$Q$13</f>
        <v>1</v>
      </c>
      <c r="C30">
        <v>1</v>
      </c>
      <c r="D30" s="16">
        <v>0</v>
      </c>
      <c r="F30" s="12">
        <f t="shared" si="5"/>
        <v>0.5</v>
      </c>
      <c r="G30" s="12">
        <f t="shared" si="20"/>
        <v>0.5</v>
      </c>
      <c r="H30" s="16">
        <f t="shared" si="21"/>
        <v>0.5</v>
      </c>
      <c r="I30" s="12">
        <f t="shared" si="8"/>
        <v>1.0869618637578267</v>
      </c>
    </row>
    <row r="31" spans="1:13" x14ac:dyDescent="0.3">
      <c r="A31" s="1" t="s">
        <v>111</v>
      </c>
      <c r="B31">
        <f>$Q$13</f>
        <v>1</v>
      </c>
      <c r="C31">
        <v>1</v>
      </c>
      <c r="D31" s="16">
        <v>2</v>
      </c>
      <c r="F31" s="12">
        <f t="shared" si="5"/>
        <v>0.57481676849790742</v>
      </c>
      <c r="G31" s="12">
        <f t="shared" si="20"/>
        <v>0.57481676849790742</v>
      </c>
      <c r="H31" s="16">
        <f t="shared" si="21"/>
        <v>0.57481676849790742</v>
      </c>
      <c r="I31" s="12">
        <f t="shared" si="8"/>
        <v>1.2496078120114733</v>
      </c>
    </row>
    <row r="32" spans="1:13" x14ac:dyDescent="0.3">
      <c r="A32" s="1" t="s">
        <v>106</v>
      </c>
      <c r="B32">
        <f>$Q$13</f>
        <v>1</v>
      </c>
      <c r="C32">
        <v>1</v>
      </c>
      <c r="D32" s="16">
        <v>0</v>
      </c>
      <c r="F32" s="12">
        <f t="shared" si="5"/>
        <v>0.5</v>
      </c>
      <c r="G32" s="12">
        <f t="shared" ref="G32" si="22">F32/C32</f>
        <v>0.5</v>
      </c>
      <c r="H32" s="16">
        <f t="shared" ref="H32" si="23">MAX(0, G32*B32)</f>
        <v>0.5</v>
      </c>
      <c r="I32" s="12">
        <f t="shared" si="8"/>
        <v>1.0869618637578267</v>
      </c>
    </row>
    <row r="33" spans="1:9" x14ac:dyDescent="0.3">
      <c r="A33" s="1" t="s">
        <v>107</v>
      </c>
      <c r="B33">
        <f>$Q$13</f>
        <v>1</v>
      </c>
      <c r="C33">
        <v>1</v>
      </c>
      <c r="D33" s="16">
        <v>0</v>
      </c>
      <c r="F33" s="12">
        <f t="shared" si="5"/>
        <v>0.5</v>
      </c>
      <c r="G33" s="12">
        <f t="shared" ref="G33" si="24">F33/C33</f>
        <v>0.5</v>
      </c>
      <c r="H33" s="16">
        <f t="shared" ref="H33" si="25">MAX(0, G33*B33)</f>
        <v>0.5</v>
      </c>
      <c r="I33" s="12">
        <f t="shared" si="8"/>
        <v>1.0869618637578267</v>
      </c>
    </row>
    <row r="34" spans="1:9" x14ac:dyDescent="0.3">
      <c r="A34" s="1" t="s">
        <v>109</v>
      </c>
      <c r="B34">
        <f>$Q$13</f>
        <v>1</v>
      </c>
      <c r="C34">
        <v>1</v>
      </c>
      <c r="D34" s="16">
        <v>0</v>
      </c>
      <c r="F34" s="12">
        <f t="shared" si="5"/>
        <v>0.5</v>
      </c>
      <c r="G34" s="12">
        <f t="shared" ref="G34" si="26">F34/C34</f>
        <v>0.5</v>
      </c>
      <c r="H34" s="16">
        <f t="shared" ref="H34" si="27">MAX(0, G34*B34)</f>
        <v>0.5</v>
      </c>
      <c r="I34" s="12">
        <f t="shared" si="8"/>
        <v>1.0869618637578267</v>
      </c>
    </row>
    <row r="35" spans="1:9" x14ac:dyDescent="0.3">
      <c r="A35" s="1" t="s">
        <v>110</v>
      </c>
      <c r="B35">
        <f>$Q$13</f>
        <v>1</v>
      </c>
      <c r="C35">
        <v>1</v>
      </c>
      <c r="D35" s="16">
        <v>0</v>
      </c>
      <c r="F35" s="12">
        <f t="shared" si="5"/>
        <v>0.5</v>
      </c>
      <c r="G35" s="12">
        <f t="shared" ref="G35:G41" si="28">F35/C35</f>
        <v>0.5</v>
      </c>
      <c r="H35" s="16">
        <f t="shared" ref="H35:H41" si="29">MAX(0, G35*B35)</f>
        <v>0.5</v>
      </c>
      <c r="I35" s="12">
        <f t="shared" si="8"/>
        <v>1.0869618637578267</v>
      </c>
    </row>
    <row r="36" spans="1:9" x14ac:dyDescent="0.3">
      <c r="A36" s="1" t="s">
        <v>125</v>
      </c>
      <c r="B36">
        <f>$Q$13</f>
        <v>1</v>
      </c>
      <c r="C36">
        <v>1</v>
      </c>
      <c r="D36" s="16">
        <v>0</v>
      </c>
      <c r="F36" s="12">
        <f t="shared" si="5"/>
        <v>0.5</v>
      </c>
      <c r="G36" s="12">
        <f t="shared" si="28"/>
        <v>0.5</v>
      </c>
      <c r="H36" s="16">
        <f t="shared" si="29"/>
        <v>0.5</v>
      </c>
      <c r="I36" s="12">
        <f t="shared" si="8"/>
        <v>1.0869618637578267</v>
      </c>
    </row>
    <row r="37" spans="1:9" x14ac:dyDescent="0.3">
      <c r="A37" s="1" t="s">
        <v>126</v>
      </c>
      <c r="B37">
        <f>$Q$13</f>
        <v>1</v>
      </c>
      <c r="C37">
        <v>1</v>
      </c>
      <c r="D37" s="16">
        <v>0</v>
      </c>
      <c r="F37" s="12">
        <f t="shared" si="5"/>
        <v>0.5</v>
      </c>
      <c r="G37" s="12">
        <f t="shared" si="28"/>
        <v>0.5</v>
      </c>
      <c r="H37" s="16">
        <f t="shared" si="29"/>
        <v>0.5</v>
      </c>
      <c r="I37" s="12">
        <f t="shared" si="8"/>
        <v>1.0869618637578267</v>
      </c>
    </row>
    <row r="38" spans="1:9" x14ac:dyDescent="0.3">
      <c r="A38" s="1" t="s">
        <v>127</v>
      </c>
      <c r="B38">
        <f>$Q$13</f>
        <v>1</v>
      </c>
      <c r="C38">
        <v>1</v>
      </c>
      <c r="D38" s="16">
        <v>1</v>
      </c>
      <c r="F38" s="12">
        <f t="shared" si="5"/>
        <v>0.53740838424895365</v>
      </c>
      <c r="G38" s="12">
        <f t="shared" si="28"/>
        <v>0.53740838424895365</v>
      </c>
      <c r="H38" s="16">
        <f t="shared" si="29"/>
        <v>0.53740838424895365</v>
      </c>
      <c r="I38" s="12">
        <f t="shared" si="8"/>
        <v>1.1682848378846498</v>
      </c>
    </row>
    <row r="39" spans="1:9" x14ac:dyDescent="0.3">
      <c r="A39" s="1" t="s">
        <v>128</v>
      </c>
      <c r="B39">
        <f>$Q$13</f>
        <v>1</v>
      </c>
      <c r="C39">
        <v>1</v>
      </c>
      <c r="D39" s="16">
        <v>0</v>
      </c>
      <c r="F39" s="12">
        <f t="shared" si="5"/>
        <v>0.5</v>
      </c>
      <c r="G39" s="12">
        <f t="shared" si="28"/>
        <v>0.5</v>
      </c>
      <c r="H39" s="16">
        <f t="shared" si="29"/>
        <v>0.5</v>
      </c>
      <c r="I39" s="12">
        <f t="shared" si="8"/>
        <v>1.0869618637578267</v>
      </c>
    </row>
    <row r="40" spans="1:9" x14ac:dyDescent="0.3">
      <c r="A40" s="1" t="s">
        <v>129</v>
      </c>
      <c r="B40">
        <f>$Q$13</f>
        <v>1</v>
      </c>
      <c r="C40">
        <v>1</v>
      </c>
      <c r="D40" s="16">
        <v>0</v>
      </c>
      <c r="F40" s="12">
        <f t="shared" si="5"/>
        <v>0.5</v>
      </c>
      <c r="G40" s="12">
        <f t="shared" si="28"/>
        <v>0.5</v>
      </c>
      <c r="H40" s="16">
        <f t="shared" si="29"/>
        <v>0.5</v>
      </c>
      <c r="I40" s="12">
        <f t="shared" si="8"/>
        <v>1.0869618637578267</v>
      </c>
    </row>
    <row r="41" spans="1:9" x14ac:dyDescent="0.3">
      <c r="A41" s="1" t="s">
        <v>138</v>
      </c>
      <c r="B41">
        <f>$Q$13</f>
        <v>1</v>
      </c>
      <c r="C41">
        <v>1</v>
      </c>
      <c r="D41" s="16">
        <v>1</v>
      </c>
      <c r="F41" s="12">
        <f t="shared" si="5"/>
        <v>0.53740838424895365</v>
      </c>
      <c r="G41" s="12">
        <f t="shared" si="28"/>
        <v>0.53740838424895365</v>
      </c>
      <c r="H41" s="16">
        <f t="shared" si="29"/>
        <v>0.53740838424895365</v>
      </c>
      <c r="I41" s="12">
        <f t="shared" si="8"/>
        <v>1.1682848378846498</v>
      </c>
    </row>
    <row r="42" spans="1:9" x14ac:dyDescent="0.3">
      <c r="A42" s="1" t="s">
        <v>139</v>
      </c>
      <c r="B42">
        <f>$Q$13</f>
        <v>1</v>
      </c>
      <c r="C42">
        <v>1</v>
      </c>
      <c r="D42" s="16">
        <v>0</v>
      </c>
      <c r="F42" s="12">
        <f t="shared" si="5"/>
        <v>0.5</v>
      </c>
      <c r="G42" s="12">
        <f t="shared" ref="G42:G53" si="30">F42/C42</f>
        <v>0.5</v>
      </c>
      <c r="H42" s="16">
        <f t="shared" ref="H42:H49" si="31">MAX(0, G42*B42)</f>
        <v>0.5</v>
      </c>
      <c r="I42" s="12">
        <f t="shared" si="8"/>
        <v>1.0869618637578267</v>
      </c>
    </row>
    <row r="43" spans="1:9" x14ac:dyDescent="0.3">
      <c r="A43" s="1" t="s">
        <v>140</v>
      </c>
      <c r="B43">
        <f>$Q$13</f>
        <v>1</v>
      </c>
      <c r="C43">
        <v>1</v>
      </c>
      <c r="D43" s="16">
        <v>1</v>
      </c>
      <c r="F43" s="12">
        <f t="shared" si="5"/>
        <v>0.53740838424895365</v>
      </c>
      <c r="G43" s="12">
        <f t="shared" si="30"/>
        <v>0.53740838424895365</v>
      </c>
      <c r="H43" s="16">
        <f t="shared" si="31"/>
        <v>0.53740838424895365</v>
      </c>
      <c r="I43" s="12">
        <f t="shared" si="8"/>
        <v>1.1682848378846498</v>
      </c>
    </row>
    <row r="44" spans="1:9" x14ac:dyDescent="0.3">
      <c r="A44" s="1" t="s">
        <v>141</v>
      </c>
      <c r="B44">
        <f>$Q$13</f>
        <v>1</v>
      </c>
      <c r="C44">
        <v>1</v>
      </c>
      <c r="D44" s="16">
        <v>2</v>
      </c>
      <c r="F44" s="12">
        <f t="shared" si="5"/>
        <v>0.57481676849790742</v>
      </c>
      <c r="G44" s="12">
        <f t="shared" si="30"/>
        <v>0.57481676849790742</v>
      </c>
      <c r="H44" s="16">
        <f t="shared" si="31"/>
        <v>0.57481676849790742</v>
      </c>
      <c r="I44" s="12">
        <f t="shared" si="8"/>
        <v>1.2496078120114733</v>
      </c>
    </row>
    <row r="45" spans="1:9" x14ac:dyDescent="0.3">
      <c r="A45" s="1" t="s">
        <v>149</v>
      </c>
      <c r="B45">
        <f>$Q$13</f>
        <v>1</v>
      </c>
      <c r="C45">
        <v>1</v>
      </c>
      <c r="D45" s="16">
        <v>0</v>
      </c>
      <c r="F45" s="12">
        <f t="shared" si="5"/>
        <v>0.5</v>
      </c>
      <c r="G45" s="12">
        <f t="shared" si="30"/>
        <v>0.5</v>
      </c>
      <c r="H45" s="16">
        <f t="shared" si="31"/>
        <v>0.5</v>
      </c>
      <c r="I45" s="12">
        <f t="shared" si="8"/>
        <v>1.0869618637578267</v>
      </c>
    </row>
    <row r="46" spans="1:9" x14ac:dyDescent="0.3">
      <c r="A46" s="1" t="s">
        <v>150</v>
      </c>
      <c r="B46">
        <f>$Q$13</f>
        <v>1</v>
      </c>
      <c r="C46">
        <v>1</v>
      </c>
      <c r="D46" s="16">
        <v>0</v>
      </c>
      <c r="F46" s="12">
        <f t="shared" si="5"/>
        <v>0.5</v>
      </c>
      <c r="G46" s="12">
        <f t="shared" si="30"/>
        <v>0.5</v>
      </c>
      <c r="H46" s="16">
        <f t="shared" si="31"/>
        <v>0.5</v>
      </c>
      <c r="I46" s="12">
        <f t="shared" si="8"/>
        <v>1.0869618637578267</v>
      </c>
    </row>
    <row r="47" spans="1:9" x14ac:dyDescent="0.3">
      <c r="A47" s="43" t="s">
        <v>151</v>
      </c>
      <c r="B47">
        <f>$Q$13</f>
        <v>1</v>
      </c>
      <c r="C47">
        <v>5</v>
      </c>
      <c r="D47" s="16">
        <v>3</v>
      </c>
      <c r="F47" s="12">
        <f t="shared" si="5"/>
        <v>0.61222515274686107</v>
      </c>
      <c r="G47" s="12">
        <f t="shared" si="30"/>
        <v>0.12244503054937221</v>
      </c>
      <c r="H47" s="29">
        <f t="shared" si="31"/>
        <v>0.12244503054937221</v>
      </c>
      <c r="I47" s="12">
        <f t="shared" si="8"/>
        <v>0.26618615722765926</v>
      </c>
    </row>
    <row r="48" spans="1:9" x14ac:dyDescent="0.3">
      <c r="A48" s="43" t="s">
        <v>159</v>
      </c>
      <c r="B48">
        <f>$Q$13</f>
        <v>1</v>
      </c>
      <c r="C48">
        <v>1</v>
      </c>
      <c r="D48" s="16">
        <v>0</v>
      </c>
      <c r="F48" s="12">
        <f t="shared" si="5"/>
        <v>0.5</v>
      </c>
      <c r="G48" s="12">
        <f t="shared" si="30"/>
        <v>0.5</v>
      </c>
      <c r="H48" s="47">
        <f t="shared" si="31"/>
        <v>0.5</v>
      </c>
      <c r="I48" s="12">
        <f t="shared" si="8"/>
        <v>1.0869618637578267</v>
      </c>
    </row>
    <row r="49" spans="1:9" x14ac:dyDescent="0.3">
      <c r="A49" s="43" t="s">
        <v>160</v>
      </c>
      <c r="B49">
        <f>$Q$13</f>
        <v>1</v>
      </c>
      <c r="C49">
        <v>1</v>
      </c>
      <c r="D49" s="16">
        <v>0</v>
      </c>
      <c r="F49" s="12">
        <f t="shared" si="5"/>
        <v>0.5</v>
      </c>
      <c r="G49" s="12">
        <f t="shared" si="30"/>
        <v>0.5</v>
      </c>
      <c r="H49" s="47">
        <f t="shared" si="31"/>
        <v>0.5</v>
      </c>
      <c r="I49" s="12">
        <f t="shared" si="8"/>
        <v>1.0869618637578267</v>
      </c>
    </row>
    <row r="50" spans="1:9" x14ac:dyDescent="0.3">
      <c r="A50" s="43" t="s">
        <v>165</v>
      </c>
      <c r="B50">
        <f>$Q$13</f>
        <v>1</v>
      </c>
      <c r="C50">
        <v>1</v>
      </c>
      <c r="D50" s="16">
        <v>3</v>
      </c>
      <c r="F50" s="12">
        <f t="shared" si="5"/>
        <v>0.61222515274686107</v>
      </c>
      <c r="G50" s="12">
        <f t="shared" si="30"/>
        <v>0.61222515274686107</v>
      </c>
      <c r="H50" s="47">
        <f t="shared" ref="H50:H53" si="32">MAX(0, G50*B50)</f>
        <v>0.61222515274686107</v>
      </c>
      <c r="I50" s="12">
        <f t="shared" si="8"/>
        <v>1.3309307861382966</v>
      </c>
    </row>
    <row r="51" spans="1:9" x14ac:dyDescent="0.3">
      <c r="A51" s="43" t="s">
        <v>166</v>
      </c>
      <c r="B51">
        <f>$Q$13</f>
        <v>1</v>
      </c>
      <c r="C51">
        <v>1</v>
      </c>
      <c r="D51" s="16">
        <v>2</v>
      </c>
      <c r="F51" s="12">
        <f t="shared" si="5"/>
        <v>0.57481676849790742</v>
      </c>
      <c r="G51" s="12">
        <f t="shared" si="30"/>
        <v>0.57481676849790742</v>
      </c>
      <c r="H51" s="47">
        <f t="shared" si="32"/>
        <v>0.57481676849790742</v>
      </c>
      <c r="I51" s="12">
        <f t="shared" si="8"/>
        <v>1.2496078120114733</v>
      </c>
    </row>
    <row r="52" spans="1:9" x14ac:dyDescent="0.3">
      <c r="A52" s="43" t="s">
        <v>174</v>
      </c>
      <c r="B52">
        <f>$Q$13</f>
        <v>1</v>
      </c>
      <c r="C52">
        <v>1</v>
      </c>
      <c r="D52" s="16">
        <v>1</v>
      </c>
      <c r="F52" s="12">
        <f t="shared" si="5"/>
        <v>0.53740838424895365</v>
      </c>
      <c r="G52" s="12">
        <f t="shared" si="30"/>
        <v>0.53740838424895365</v>
      </c>
      <c r="H52" s="47">
        <f t="shared" si="32"/>
        <v>0.53740838424895365</v>
      </c>
      <c r="I52" s="12">
        <f t="shared" si="8"/>
        <v>1.1682848378846498</v>
      </c>
    </row>
    <row r="53" spans="1:9" x14ac:dyDescent="0.3">
      <c r="A53" s="43" t="s">
        <v>175</v>
      </c>
      <c r="B53">
        <f>$Q$13</f>
        <v>1</v>
      </c>
      <c r="C53">
        <v>1</v>
      </c>
      <c r="D53" s="16">
        <v>0</v>
      </c>
      <c r="F53" s="12">
        <f t="shared" si="5"/>
        <v>0.5</v>
      </c>
      <c r="G53" s="12">
        <f t="shared" si="30"/>
        <v>0.5</v>
      </c>
      <c r="H53" s="47">
        <f t="shared" si="32"/>
        <v>0.5</v>
      </c>
      <c r="I53" s="12">
        <f t="shared" si="8"/>
        <v>1.0869618637578267</v>
      </c>
    </row>
    <row r="54" spans="1:9" x14ac:dyDescent="0.3">
      <c r="A54" s="43" t="s">
        <v>176</v>
      </c>
      <c r="B54">
        <f>$Q$13</f>
        <v>1</v>
      </c>
      <c r="C54">
        <v>1</v>
      </c>
      <c r="D54" s="16">
        <v>1</v>
      </c>
      <c r="F54" s="12">
        <f t="shared" ref="F54" si="33">((D54/$K$17) * ($M$11+$M$14) + 1) / 2</f>
        <v>0.53740838424895365</v>
      </c>
      <c r="G54" s="12">
        <f t="shared" ref="G54" si="34">F54/C54</f>
        <v>0.53740838424895365</v>
      </c>
      <c r="H54" s="47">
        <f t="shared" ref="H54" si="35">MAX(0, G54*B54)</f>
        <v>0.53740838424895365</v>
      </c>
      <c r="I54" s="12">
        <f t="shared" si="8"/>
        <v>1.1682848378846498</v>
      </c>
    </row>
    <row r="55" spans="1:9" x14ac:dyDescent="0.3">
      <c r="A55" s="43"/>
      <c r="F55" s="12"/>
      <c r="G55" s="12"/>
      <c r="H55" s="29"/>
      <c r="I55" s="12"/>
    </row>
    <row r="56" spans="1:9" x14ac:dyDescent="0.3">
      <c r="A56" s="40" t="s">
        <v>193</v>
      </c>
      <c r="I56" s="12"/>
    </row>
    <row r="57" spans="1:9" x14ac:dyDescent="0.3">
      <c r="A57" s="1" t="s">
        <v>59</v>
      </c>
      <c r="B57">
        <f>$Q$14</f>
        <v>1</v>
      </c>
      <c r="C57">
        <v>3</v>
      </c>
      <c r="D57" s="16">
        <v>6</v>
      </c>
      <c r="F57" s="12">
        <f t="shared" ref="F57:F101" si="36">((D57/$K$17) * ($M$11+$M$14) + 1) / 2</f>
        <v>0.72445030549372214</v>
      </c>
      <c r="G57" s="12">
        <f t="shared" ref="G57:G101" si="37">F57/C57</f>
        <v>0.24148343516457405</v>
      </c>
      <c r="H57" s="29">
        <f t="shared" ref="H57" si="38">MAX(0, G57*B57)</f>
        <v>0.24148343516457405</v>
      </c>
      <c r="I57" s="12">
        <f t="shared" ref="I57:I101" si="39">100*H57/$M$17</f>
        <v>0.52496656950625542</v>
      </c>
    </row>
    <row r="58" spans="1:9" x14ac:dyDescent="0.3">
      <c r="A58" s="1" t="s">
        <v>3</v>
      </c>
      <c r="B58">
        <f>$Q$14</f>
        <v>1</v>
      </c>
      <c r="C58">
        <v>1</v>
      </c>
      <c r="D58" s="16">
        <v>-5</v>
      </c>
      <c r="F58" s="12">
        <f t="shared" si="36"/>
        <v>0.31295807875523152</v>
      </c>
      <c r="G58" s="12">
        <f t="shared" si="37"/>
        <v>0.31295807875523152</v>
      </c>
      <c r="H58" s="29">
        <f t="shared" ref="H58:H101" si="40">MAX(0, G58*B58)</f>
        <v>0.31295807875523152</v>
      </c>
      <c r="I58" s="12">
        <f t="shared" si="39"/>
        <v>0.68034699312371028</v>
      </c>
    </row>
    <row r="59" spans="1:9" x14ac:dyDescent="0.3">
      <c r="A59" s="1" t="s">
        <v>56</v>
      </c>
      <c r="B59">
        <v>1</v>
      </c>
      <c r="C59">
        <v>4</v>
      </c>
      <c r="D59" s="16">
        <v>-7</v>
      </c>
      <c r="F59" s="12">
        <f t="shared" si="36"/>
        <v>0.23814131025732416</v>
      </c>
      <c r="G59" s="12">
        <f t="shared" si="37"/>
        <v>5.9535327564331039E-2</v>
      </c>
      <c r="H59" s="29">
        <f t="shared" si="40"/>
        <v>5.9535327564331039E-2</v>
      </c>
      <c r="I59" s="12">
        <f t="shared" si="39"/>
        <v>0.12942526121751596</v>
      </c>
    </row>
    <row r="60" spans="1:9" x14ac:dyDescent="0.3">
      <c r="A60" s="1" t="s">
        <v>75</v>
      </c>
      <c r="B60">
        <f>$Q$14</f>
        <v>1</v>
      </c>
      <c r="C60">
        <v>4</v>
      </c>
      <c r="D60" s="16">
        <v>-9</v>
      </c>
      <c r="F60" s="12">
        <f t="shared" si="36"/>
        <v>0.1633245417594168</v>
      </c>
      <c r="G60" s="12">
        <f t="shared" si="37"/>
        <v>4.0831135439854199E-2</v>
      </c>
      <c r="H60" s="29">
        <f t="shared" si="40"/>
        <v>4.0831135439854199E-2</v>
      </c>
      <c r="I60" s="12">
        <f t="shared" si="39"/>
        <v>8.8763774154104344E-2</v>
      </c>
    </row>
    <row r="61" spans="1:9" x14ac:dyDescent="0.3">
      <c r="A61" s="1" t="s">
        <v>58</v>
      </c>
      <c r="B61">
        <f>$Q$14</f>
        <v>1</v>
      </c>
      <c r="C61">
        <v>1</v>
      </c>
      <c r="D61" s="16">
        <v>3</v>
      </c>
      <c r="F61" s="12">
        <f t="shared" si="36"/>
        <v>0.61222515274686107</v>
      </c>
      <c r="G61" s="12">
        <f t="shared" si="37"/>
        <v>0.61222515274686107</v>
      </c>
      <c r="H61" s="29">
        <f t="shared" si="40"/>
        <v>0.61222515274686107</v>
      </c>
      <c r="I61" s="12">
        <f t="shared" si="39"/>
        <v>1.3309307861382966</v>
      </c>
    </row>
    <row r="62" spans="1:9" x14ac:dyDescent="0.3">
      <c r="A62" s="1" t="s">
        <v>52</v>
      </c>
      <c r="B62">
        <f>$Q$14</f>
        <v>1</v>
      </c>
      <c r="C62">
        <v>1</v>
      </c>
      <c r="D62" s="16">
        <v>1</v>
      </c>
      <c r="F62" s="12">
        <f t="shared" si="36"/>
        <v>0.53740838424895365</v>
      </c>
      <c r="G62" s="12">
        <f t="shared" si="37"/>
        <v>0.53740838424895365</v>
      </c>
      <c r="H62" s="29">
        <f t="shared" si="40"/>
        <v>0.53740838424895365</v>
      </c>
      <c r="I62" s="12">
        <f t="shared" si="39"/>
        <v>1.1682848378846498</v>
      </c>
    </row>
    <row r="63" spans="1:9" x14ac:dyDescent="0.3">
      <c r="A63" s="1" t="s">
        <v>101</v>
      </c>
      <c r="B63">
        <f>$Q$14</f>
        <v>1</v>
      </c>
      <c r="C63">
        <v>4</v>
      </c>
      <c r="D63" s="16">
        <v>2</v>
      </c>
      <c r="F63" s="12">
        <f t="shared" si="36"/>
        <v>0.57481676849790742</v>
      </c>
      <c r="G63" s="12">
        <f t="shared" ref="G63" si="41">F63/C63</f>
        <v>0.14370419212447685</v>
      </c>
      <c r="H63" s="29">
        <f t="shared" ref="H63" si="42">MAX(0, G63*B63)</f>
        <v>0.14370419212447685</v>
      </c>
      <c r="I63" s="12">
        <f t="shared" si="39"/>
        <v>0.31240195300286833</v>
      </c>
    </row>
    <row r="64" spans="1:9" x14ac:dyDescent="0.3">
      <c r="A64" s="1" t="s">
        <v>55</v>
      </c>
      <c r="B64">
        <f>$Q$14</f>
        <v>1</v>
      </c>
      <c r="C64">
        <v>6</v>
      </c>
      <c r="D64" s="16">
        <v>2</v>
      </c>
      <c r="F64" s="12">
        <f t="shared" si="36"/>
        <v>0.57481676849790742</v>
      </c>
      <c r="G64" s="12">
        <f t="shared" si="37"/>
        <v>9.5802794749651241E-2</v>
      </c>
      <c r="H64" s="29">
        <f t="shared" si="40"/>
        <v>9.5802794749651241E-2</v>
      </c>
      <c r="I64" s="12">
        <f t="shared" si="39"/>
        <v>0.20826796866857888</v>
      </c>
    </row>
    <row r="65" spans="1:9" x14ac:dyDescent="0.3">
      <c r="A65" s="1" t="s">
        <v>65</v>
      </c>
      <c r="B65">
        <f>$Q$14</f>
        <v>1</v>
      </c>
      <c r="C65">
        <v>5</v>
      </c>
      <c r="D65" s="16">
        <v>0</v>
      </c>
      <c r="F65" s="12">
        <f t="shared" si="36"/>
        <v>0.5</v>
      </c>
      <c r="G65" s="12">
        <f t="shared" si="37"/>
        <v>0.1</v>
      </c>
      <c r="H65" s="29">
        <f t="shared" si="40"/>
        <v>0.1</v>
      </c>
      <c r="I65" s="12">
        <f t="shared" si="39"/>
        <v>0.21739237275156534</v>
      </c>
    </row>
    <row r="66" spans="1:9" x14ac:dyDescent="0.3">
      <c r="A66" s="1" t="s">
        <v>60</v>
      </c>
      <c r="B66">
        <f>$Q$14</f>
        <v>1</v>
      </c>
      <c r="C66">
        <v>1</v>
      </c>
      <c r="D66" s="16">
        <v>-3</v>
      </c>
      <c r="F66" s="12">
        <f t="shared" si="36"/>
        <v>0.38777484725313893</v>
      </c>
      <c r="G66" s="12">
        <f t="shared" si="37"/>
        <v>0.38777484725313893</v>
      </c>
      <c r="H66" s="29">
        <f t="shared" si="40"/>
        <v>0.38777484725313893</v>
      </c>
      <c r="I66" s="12">
        <f t="shared" si="39"/>
        <v>0.84299294137735681</v>
      </c>
    </row>
    <row r="67" spans="1:9" x14ac:dyDescent="0.3">
      <c r="A67" s="1" t="s">
        <v>61</v>
      </c>
      <c r="B67">
        <f>$Q$14</f>
        <v>1</v>
      </c>
      <c r="C67">
        <v>3</v>
      </c>
      <c r="D67" s="16">
        <v>-6</v>
      </c>
      <c r="F67" s="12">
        <f t="shared" si="36"/>
        <v>0.27554969450627786</v>
      </c>
      <c r="G67" s="12">
        <f t="shared" si="37"/>
        <v>9.1849898168759284E-2</v>
      </c>
      <c r="H67" s="29">
        <f t="shared" si="40"/>
        <v>9.1849898168759284E-2</v>
      </c>
      <c r="I67" s="12">
        <f t="shared" si="39"/>
        <v>0.19967467299896235</v>
      </c>
    </row>
    <row r="68" spans="1:9" x14ac:dyDescent="0.3">
      <c r="A68" s="1" t="s">
        <v>63</v>
      </c>
      <c r="B68">
        <f>$Q$14</f>
        <v>1</v>
      </c>
      <c r="C68">
        <v>20</v>
      </c>
      <c r="D68" s="16">
        <v>0</v>
      </c>
      <c r="F68" s="12">
        <f t="shared" si="36"/>
        <v>0.5</v>
      </c>
      <c r="G68" s="12">
        <f t="shared" si="37"/>
        <v>2.5000000000000001E-2</v>
      </c>
      <c r="H68" s="29">
        <f t="shared" si="40"/>
        <v>2.5000000000000001E-2</v>
      </c>
      <c r="I68" s="12">
        <f t="shared" si="39"/>
        <v>5.4348093187891335E-2</v>
      </c>
    </row>
    <row r="69" spans="1:9" x14ac:dyDescent="0.3">
      <c r="A69" s="1" t="s">
        <v>54</v>
      </c>
      <c r="B69">
        <f>$Q$14</f>
        <v>1</v>
      </c>
      <c r="C69">
        <v>3</v>
      </c>
      <c r="D69" s="16">
        <v>6</v>
      </c>
      <c r="F69" s="12">
        <f t="shared" si="36"/>
        <v>0.72445030549372214</v>
      </c>
      <c r="G69" s="12">
        <f t="shared" si="37"/>
        <v>0.24148343516457405</v>
      </c>
      <c r="H69" s="29">
        <f t="shared" si="40"/>
        <v>0.24148343516457405</v>
      </c>
      <c r="I69" s="12">
        <f t="shared" si="39"/>
        <v>0.52496656950625542</v>
      </c>
    </row>
    <row r="70" spans="1:9" x14ac:dyDescent="0.3">
      <c r="A70" s="1" t="s">
        <v>133</v>
      </c>
      <c r="B70">
        <f>$Q$14</f>
        <v>1</v>
      </c>
      <c r="C70">
        <v>4</v>
      </c>
      <c r="D70" s="16">
        <v>-7</v>
      </c>
      <c r="F70" s="12">
        <f t="shared" si="36"/>
        <v>0.23814131025732416</v>
      </c>
      <c r="G70" s="12">
        <f t="shared" si="37"/>
        <v>5.9535327564331039E-2</v>
      </c>
      <c r="H70" s="29">
        <f t="shared" si="40"/>
        <v>5.9535327564331039E-2</v>
      </c>
      <c r="I70" s="12">
        <f t="shared" si="39"/>
        <v>0.12942526121751596</v>
      </c>
    </row>
    <row r="71" spans="1:9" x14ac:dyDescent="0.3">
      <c r="A71" s="1" t="s">
        <v>80</v>
      </c>
      <c r="B71">
        <f>$Q$14</f>
        <v>1</v>
      </c>
      <c r="C71">
        <v>0.8</v>
      </c>
      <c r="D71" s="16">
        <v>2</v>
      </c>
      <c r="F71" s="12">
        <f t="shared" si="36"/>
        <v>0.57481676849790742</v>
      </c>
      <c r="G71" s="12">
        <f t="shared" si="37"/>
        <v>0.71852096062238424</v>
      </c>
      <c r="H71" s="29">
        <f t="shared" si="40"/>
        <v>0.71852096062238424</v>
      </c>
      <c r="I71" s="12">
        <f t="shared" si="39"/>
        <v>1.5620097650143416</v>
      </c>
    </row>
    <row r="72" spans="1:9" x14ac:dyDescent="0.3">
      <c r="A72" s="1" t="s">
        <v>84</v>
      </c>
      <c r="B72">
        <f>$Q$14</f>
        <v>1</v>
      </c>
      <c r="C72">
        <v>1</v>
      </c>
      <c r="D72" s="16">
        <v>-6</v>
      </c>
      <c r="F72" s="12">
        <f t="shared" si="36"/>
        <v>0.27554969450627786</v>
      </c>
      <c r="G72" s="12">
        <f t="shared" si="37"/>
        <v>0.27554969450627786</v>
      </c>
      <c r="H72" s="29">
        <f t="shared" si="40"/>
        <v>0.27554969450627786</v>
      </c>
      <c r="I72" s="12">
        <f t="shared" si="39"/>
        <v>0.59902401899688718</v>
      </c>
    </row>
    <row r="73" spans="1:9" x14ac:dyDescent="0.3">
      <c r="A73" s="1" t="s">
        <v>86</v>
      </c>
      <c r="B73">
        <f>$Q$14</f>
        <v>1</v>
      </c>
      <c r="C73">
        <v>10</v>
      </c>
      <c r="D73" s="16">
        <v>-10</v>
      </c>
      <c r="F73" s="12">
        <f t="shared" si="36"/>
        <v>0.12591615751046309</v>
      </c>
      <c r="G73" s="12">
        <f t="shared" si="37"/>
        <v>1.2591615751046309E-2</v>
      </c>
      <c r="H73" s="29">
        <f t="shared" si="40"/>
        <v>1.2591615751046309E-2</v>
      </c>
      <c r="I73" s="12">
        <f t="shared" si="39"/>
        <v>2.7373212248959403E-2</v>
      </c>
    </row>
    <row r="74" spans="1:9" x14ac:dyDescent="0.3">
      <c r="A74" s="1" t="s">
        <v>87</v>
      </c>
      <c r="B74">
        <f>$Q$14</f>
        <v>1</v>
      </c>
      <c r="C74">
        <v>10</v>
      </c>
      <c r="D74" s="16">
        <v>-5</v>
      </c>
      <c r="F74" s="12">
        <f t="shared" si="36"/>
        <v>0.31295807875523152</v>
      </c>
      <c r="G74" s="12">
        <f t="shared" si="37"/>
        <v>3.1295807875523149E-2</v>
      </c>
      <c r="H74" s="29">
        <f t="shared" si="40"/>
        <v>3.1295807875523149E-2</v>
      </c>
      <c r="I74" s="12">
        <f t="shared" si="39"/>
        <v>6.8034699312371022E-2</v>
      </c>
    </row>
    <row r="75" spans="1:9" x14ac:dyDescent="0.3">
      <c r="A75" s="1" t="s">
        <v>91</v>
      </c>
      <c r="B75">
        <f>$Q$14</f>
        <v>1</v>
      </c>
      <c r="C75">
        <v>3</v>
      </c>
      <c r="D75" s="16">
        <v>-8</v>
      </c>
      <c r="F75" s="12">
        <f t="shared" si="36"/>
        <v>0.20073292600837045</v>
      </c>
      <c r="G75" s="12">
        <f t="shared" si="37"/>
        <v>6.6910975336123488E-2</v>
      </c>
      <c r="H75" s="29">
        <f t="shared" si="40"/>
        <v>6.6910975336123488E-2</v>
      </c>
      <c r="I75" s="12">
        <f t="shared" si="39"/>
        <v>0.14545935691441353</v>
      </c>
    </row>
    <row r="76" spans="1:9" x14ac:dyDescent="0.3">
      <c r="A76" s="1" t="s">
        <v>90</v>
      </c>
      <c r="B76">
        <f>$Q$14</f>
        <v>1</v>
      </c>
      <c r="C76">
        <v>5</v>
      </c>
      <c r="D76" s="16">
        <v>9</v>
      </c>
      <c r="F76" s="12">
        <f t="shared" si="36"/>
        <v>0.8366754582405832</v>
      </c>
      <c r="G76" s="12">
        <f t="shared" si="37"/>
        <v>0.16733509164811664</v>
      </c>
      <c r="H76" s="29">
        <f t="shared" si="40"/>
        <v>0.16733509164811664</v>
      </c>
      <c r="I76" s="12">
        <f t="shared" si="39"/>
        <v>0.36377372617984721</v>
      </c>
    </row>
    <row r="77" spans="1:9" x14ac:dyDescent="0.3">
      <c r="A77" s="1" t="s">
        <v>96</v>
      </c>
      <c r="B77">
        <f>$Q$14</f>
        <v>1</v>
      </c>
      <c r="C77">
        <v>5</v>
      </c>
      <c r="D77" s="16">
        <v>-5</v>
      </c>
      <c r="F77" s="12">
        <f t="shared" si="36"/>
        <v>0.31295807875523152</v>
      </c>
      <c r="G77" s="12">
        <f t="shared" si="37"/>
        <v>6.2591615751046298E-2</v>
      </c>
      <c r="H77" s="29">
        <f t="shared" ref="H77:H78" si="43">MAX(0, G77*B77)</f>
        <v>6.2591615751046298E-2</v>
      </c>
      <c r="I77" s="12">
        <f t="shared" si="39"/>
        <v>0.13606939862474204</v>
      </c>
    </row>
    <row r="78" spans="1:9" x14ac:dyDescent="0.3">
      <c r="A78" s="1" t="s">
        <v>97</v>
      </c>
      <c r="B78">
        <f>$Q$14</f>
        <v>1</v>
      </c>
      <c r="C78">
        <v>4</v>
      </c>
      <c r="D78" s="16">
        <v>-1</v>
      </c>
      <c r="F78" s="12">
        <f t="shared" si="36"/>
        <v>0.46259161575104629</v>
      </c>
      <c r="G78" s="12">
        <f t="shared" si="37"/>
        <v>0.11564790393776157</v>
      </c>
      <c r="H78" s="29">
        <f t="shared" si="43"/>
        <v>0.11564790393776157</v>
      </c>
      <c r="I78" s="12">
        <f t="shared" si="39"/>
        <v>0.25140972240775084</v>
      </c>
    </row>
    <row r="79" spans="1:9" x14ac:dyDescent="0.3">
      <c r="A79" s="1" t="s">
        <v>135</v>
      </c>
      <c r="B79">
        <v>1</v>
      </c>
      <c r="C79">
        <v>2</v>
      </c>
      <c r="D79" s="16">
        <v>-5</v>
      </c>
      <c r="F79" s="12">
        <f t="shared" si="36"/>
        <v>0.31295807875523152</v>
      </c>
      <c r="G79" s="12">
        <f t="shared" si="37"/>
        <v>0.15647903937761576</v>
      </c>
      <c r="H79" s="29">
        <f t="shared" ref="H79" si="44">MAX(0, G79*B79)</f>
        <v>0.15647903937761576</v>
      </c>
      <c r="I79" s="12">
        <f t="shared" si="39"/>
        <v>0.34017349656185514</v>
      </c>
    </row>
    <row r="80" spans="1:9" x14ac:dyDescent="0.3">
      <c r="A80" s="1" t="s">
        <v>116</v>
      </c>
      <c r="B80">
        <v>1</v>
      </c>
      <c r="C80">
        <v>10</v>
      </c>
      <c r="D80" s="16">
        <v>-10</v>
      </c>
      <c r="F80" s="12">
        <f t="shared" si="36"/>
        <v>0.12591615751046309</v>
      </c>
      <c r="G80" s="12">
        <f t="shared" si="37"/>
        <v>1.2591615751046309E-2</v>
      </c>
      <c r="H80" s="29">
        <f t="shared" ref="H80" si="45">MAX(0, G80*B80)</f>
        <v>1.2591615751046309E-2</v>
      </c>
      <c r="I80" s="12">
        <f t="shared" si="39"/>
        <v>2.7373212248959403E-2</v>
      </c>
    </row>
    <row r="81" spans="1:9" x14ac:dyDescent="0.3">
      <c r="A81" s="1" t="s">
        <v>64</v>
      </c>
      <c r="B81">
        <f>$Q$14</f>
        <v>1</v>
      </c>
      <c r="C81">
        <v>4</v>
      </c>
      <c r="D81" s="16">
        <v>5</v>
      </c>
      <c r="F81" s="12">
        <f t="shared" si="36"/>
        <v>0.68704192124476848</v>
      </c>
      <c r="G81" s="12">
        <f t="shared" si="37"/>
        <v>0.17176048031119212</v>
      </c>
      <c r="H81" s="29">
        <f t="shared" si="40"/>
        <v>0.17176048031119212</v>
      </c>
      <c r="I81" s="12">
        <f t="shared" si="39"/>
        <v>0.37339418359798576</v>
      </c>
    </row>
    <row r="82" spans="1:9" x14ac:dyDescent="0.3">
      <c r="A82" s="1" t="s">
        <v>31</v>
      </c>
      <c r="B82">
        <f>$Q$14</f>
        <v>1</v>
      </c>
      <c r="C82">
        <v>5</v>
      </c>
      <c r="D82" s="16">
        <v>8</v>
      </c>
      <c r="F82" s="12">
        <f t="shared" si="36"/>
        <v>0.79926707399162955</v>
      </c>
      <c r="G82" s="12">
        <f t="shared" si="37"/>
        <v>0.1598534147983259</v>
      </c>
      <c r="H82" s="29">
        <f t="shared" si="40"/>
        <v>0.1598534147983259</v>
      </c>
      <c r="I82" s="12">
        <f t="shared" si="39"/>
        <v>0.34750913135448253</v>
      </c>
    </row>
    <row r="83" spans="1:9" x14ac:dyDescent="0.3">
      <c r="A83" s="1" t="s">
        <v>114</v>
      </c>
      <c r="B83">
        <f>$Q$14</f>
        <v>1</v>
      </c>
      <c r="C83">
        <v>1</v>
      </c>
      <c r="D83" s="16">
        <v>-3</v>
      </c>
      <c r="F83" s="12">
        <f t="shared" si="36"/>
        <v>0.38777484725313893</v>
      </c>
      <c r="G83" s="12">
        <f t="shared" si="37"/>
        <v>0.38777484725313893</v>
      </c>
      <c r="H83" s="29">
        <f t="shared" si="40"/>
        <v>0.38777484725313893</v>
      </c>
      <c r="I83" s="12">
        <f t="shared" si="39"/>
        <v>0.84299294137735681</v>
      </c>
    </row>
    <row r="84" spans="1:9" x14ac:dyDescent="0.3">
      <c r="A84" s="1" t="s">
        <v>117</v>
      </c>
      <c r="B84">
        <f>$Q$14</f>
        <v>1</v>
      </c>
      <c r="C84">
        <v>1</v>
      </c>
      <c r="D84" s="16">
        <v>-1</v>
      </c>
      <c r="F84" s="12">
        <f t="shared" si="36"/>
        <v>0.46259161575104629</v>
      </c>
      <c r="G84" s="12">
        <f t="shared" si="37"/>
        <v>0.46259161575104629</v>
      </c>
      <c r="H84" s="29">
        <f t="shared" ref="H84" si="46">MAX(0, G84*B84)</f>
        <v>0.46259161575104629</v>
      </c>
      <c r="I84" s="12">
        <f t="shared" si="39"/>
        <v>1.0056388896310033</v>
      </c>
    </row>
    <row r="85" spans="1:9" x14ac:dyDescent="0.3">
      <c r="A85" s="1" t="s">
        <v>115</v>
      </c>
      <c r="B85">
        <f>$Q$14</f>
        <v>1</v>
      </c>
      <c r="C85">
        <v>2</v>
      </c>
      <c r="D85" s="16">
        <v>-3</v>
      </c>
      <c r="F85" s="12">
        <f t="shared" si="36"/>
        <v>0.38777484725313893</v>
      </c>
      <c r="G85" s="12">
        <f t="shared" si="37"/>
        <v>0.19388742362656947</v>
      </c>
      <c r="H85" s="29">
        <f t="shared" ref="H85" si="47">MAX(0, G85*B85)</f>
        <v>0.19388742362656947</v>
      </c>
      <c r="I85" s="12">
        <f t="shared" si="39"/>
        <v>0.4214964706886784</v>
      </c>
    </row>
    <row r="86" spans="1:9" x14ac:dyDescent="0.3">
      <c r="A86" s="1" t="s">
        <v>132</v>
      </c>
      <c r="B86">
        <f>$Q$14</f>
        <v>1</v>
      </c>
      <c r="C86">
        <v>5</v>
      </c>
      <c r="D86" s="16">
        <v>-5</v>
      </c>
      <c r="F86" s="12">
        <f t="shared" si="36"/>
        <v>0.31295807875523152</v>
      </c>
      <c r="G86" s="12">
        <f>F86/C86</f>
        <v>6.2591615751046298E-2</v>
      </c>
      <c r="H86" s="29">
        <f>MAX(0, G86*B86)</f>
        <v>6.2591615751046298E-2</v>
      </c>
      <c r="I86" s="12">
        <f t="shared" si="39"/>
        <v>0.13606939862474204</v>
      </c>
    </row>
    <row r="87" spans="1:9" x14ac:dyDescent="0.3">
      <c r="A87" s="1" t="s">
        <v>137</v>
      </c>
      <c r="B87">
        <f>$Q$14</f>
        <v>1</v>
      </c>
      <c r="C87">
        <v>5</v>
      </c>
      <c r="D87" s="16">
        <v>10</v>
      </c>
      <c r="F87" s="12">
        <f t="shared" si="36"/>
        <v>0.87408384248953697</v>
      </c>
      <c r="G87" s="12">
        <f>F87/C87</f>
        <v>0.17481676849790739</v>
      </c>
      <c r="H87" s="29">
        <f>MAX(0, G87*B87)</f>
        <v>0.17481676849790739</v>
      </c>
      <c r="I87" s="12">
        <f t="shared" si="39"/>
        <v>0.38003832100521184</v>
      </c>
    </row>
    <row r="88" spans="1:9" x14ac:dyDescent="0.3">
      <c r="A88" s="1" t="s">
        <v>81</v>
      </c>
      <c r="B88">
        <f>$Q$14</f>
        <v>1</v>
      </c>
      <c r="C88">
        <v>0.8</v>
      </c>
      <c r="D88" s="16">
        <v>4</v>
      </c>
      <c r="F88" s="12">
        <f t="shared" si="36"/>
        <v>0.64963353699581483</v>
      </c>
      <c r="G88" s="12">
        <f t="shared" si="37"/>
        <v>0.81204192124476848</v>
      </c>
      <c r="H88" s="29">
        <f t="shared" si="40"/>
        <v>0.81204192124476848</v>
      </c>
      <c r="I88" s="12">
        <f t="shared" si="39"/>
        <v>1.7653172003313997</v>
      </c>
    </row>
    <row r="89" spans="1:9" x14ac:dyDescent="0.3">
      <c r="A89" s="1" t="s">
        <v>145</v>
      </c>
      <c r="B89">
        <f>$Q$14</f>
        <v>1</v>
      </c>
      <c r="C89">
        <v>1</v>
      </c>
      <c r="D89" s="16">
        <v>2</v>
      </c>
      <c r="F89" s="12">
        <f t="shared" si="36"/>
        <v>0.57481676849790742</v>
      </c>
      <c r="G89" s="12">
        <f t="shared" si="37"/>
        <v>0.57481676849790742</v>
      </c>
      <c r="H89" s="29">
        <f t="shared" si="40"/>
        <v>0.57481676849790742</v>
      </c>
      <c r="I89" s="12">
        <f t="shared" si="39"/>
        <v>1.2496078120114733</v>
      </c>
    </row>
    <row r="90" spans="1:9" x14ac:dyDescent="0.3">
      <c r="A90" s="1" t="s">
        <v>185</v>
      </c>
      <c r="B90">
        <f>$Q$14</f>
        <v>1</v>
      </c>
      <c r="C90">
        <v>8</v>
      </c>
      <c r="D90" s="16">
        <v>-10</v>
      </c>
      <c r="F90" s="12">
        <f t="shared" si="36"/>
        <v>0.12591615751046309</v>
      </c>
      <c r="G90" s="12">
        <f t="shared" si="37"/>
        <v>1.5739519688807886E-2</v>
      </c>
      <c r="H90" s="29">
        <f t="shared" si="40"/>
        <v>1.5739519688807886E-2</v>
      </c>
      <c r="I90" s="12">
        <f t="shared" si="39"/>
        <v>3.4216515311199257E-2</v>
      </c>
    </row>
    <row r="91" spans="1:9" x14ac:dyDescent="0.3">
      <c r="A91" s="1" t="s">
        <v>148</v>
      </c>
      <c r="B91">
        <f>$Q$14</f>
        <v>1</v>
      </c>
      <c r="C91">
        <v>2</v>
      </c>
      <c r="D91" s="16">
        <v>5</v>
      </c>
      <c r="F91" s="12">
        <f t="shared" si="36"/>
        <v>0.68704192124476848</v>
      </c>
      <c r="G91" s="12">
        <f t="shared" si="37"/>
        <v>0.34352096062238424</v>
      </c>
      <c r="H91" s="29">
        <f t="shared" si="40"/>
        <v>0.34352096062238424</v>
      </c>
      <c r="I91" s="12">
        <f t="shared" si="39"/>
        <v>0.74678836719597153</v>
      </c>
    </row>
    <row r="92" spans="1:9" x14ac:dyDescent="0.3">
      <c r="A92" s="1" t="s">
        <v>136</v>
      </c>
      <c r="B92">
        <f>$Q$14</f>
        <v>1</v>
      </c>
      <c r="C92">
        <v>0.7</v>
      </c>
      <c r="D92" s="16">
        <v>2</v>
      </c>
      <c r="F92" s="12">
        <f t="shared" si="36"/>
        <v>0.57481676849790742</v>
      </c>
      <c r="G92" s="12">
        <f t="shared" si="37"/>
        <v>0.82116681213986775</v>
      </c>
      <c r="H92" s="29">
        <f t="shared" si="40"/>
        <v>0.82116681213986775</v>
      </c>
      <c r="I92" s="12">
        <f t="shared" si="39"/>
        <v>1.7851540171592477</v>
      </c>
    </row>
    <row r="93" spans="1:9" x14ac:dyDescent="0.3">
      <c r="A93" s="1" t="s">
        <v>157</v>
      </c>
      <c r="B93">
        <f>$Q$14</f>
        <v>1</v>
      </c>
      <c r="C93">
        <v>0.8</v>
      </c>
      <c r="D93" s="16">
        <v>5</v>
      </c>
      <c r="F93" s="12">
        <f t="shared" si="36"/>
        <v>0.68704192124476848</v>
      </c>
      <c r="G93" s="12">
        <f t="shared" si="37"/>
        <v>0.85880240155596055</v>
      </c>
      <c r="H93" s="29">
        <f t="shared" si="40"/>
        <v>0.85880240155596055</v>
      </c>
      <c r="I93" s="12">
        <f t="shared" si="39"/>
        <v>1.8669709179899288</v>
      </c>
    </row>
    <row r="94" spans="1:9" x14ac:dyDescent="0.3">
      <c r="A94" s="1" t="s">
        <v>161</v>
      </c>
      <c r="B94">
        <f>$Q$14</f>
        <v>1</v>
      </c>
      <c r="C94">
        <v>0.8</v>
      </c>
      <c r="D94" s="16">
        <v>-3</v>
      </c>
      <c r="F94" s="12">
        <f t="shared" si="36"/>
        <v>0.38777484725313893</v>
      </c>
      <c r="G94" s="12">
        <f t="shared" si="37"/>
        <v>0.48471855906642364</v>
      </c>
      <c r="H94" s="29">
        <f t="shared" si="40"/>
        <v>0.48471855906642364</v>
      </c>
      <c r="I94" s="12">
        <f t="shared" si="39"/>
        <v>1.053741176721696</v>
      </c>
    </row>
    <row r="95" spans="1:9" x14ac:dyDescent="0.3">
      <c r="A95" s="1" t="s">
        <v>162</v>
      </c>
      <c r="B95">
        <f>$Q$14</f>
        <v>1</v>
      </c>
      <c r="C95">
        <v>5</v>
      </c>
      <c r="D95" s="16">
        <v>-8</v>
      </c>
      <c r="F95" s="12">
        <f t="shared" si="36"/>
        <v>0.20073292600837045</v>
      </c>
      <c r="G95" s="12">
        <f t="shared" si="37"/>
        <v>4.0146585201674093E-2</v>
      </c>
      <c r="H95" s="29">
        <f t="shared" si="40"/>
        <v>4.0146585201674093E-2</v>
      </c>
      <c r="I95" s="12">
        <f t="shared" si="39"/>
        <v>8.7275614148648109E-2</v>
      </c>
    </row>
    <row r="96" spans="1:9" x14ac:dyDescent="0.3">
      <c r="A96" s="1" t="s">
        <v>163</v>
      </c>
      <c r="B96">
        <f>$Q$14</f>
        <v>1</v>
      </c>
      <c r="C96">
        <v>4</v>
      </c>
      <c r="D96" s="16">
        <v>-7</v>
      </c>
      <c r="F96" s="12">
        <f t="shared" si="36"/>
        <v>0.23814131025732416</v>
      </c>
      <c r="G96" s="12">
        <f t="shared" si="37"/>
        <v>5.9535327564331039E-2</v>
      </c>
      <c r="H96" s="29">
        <f t="shared" si="40"/>
        <v>5.9535327564331039E-2</v>
      </c>
      <c r="I96" s="12">
        <f t="shared" si="39"/>
        <v>0.12942526121751596</v>
      </c>
    </row>
    <row r="97" spans="1:9" x14ac:dyDescent="0.3">
      <c r="A97" s="1" t="s">
        <v>164</v>
      </c>
      <c r="B97">
        <f>$Q$14</f>
        <v>1</v>
      </c>
      <c r="C97">
        <v>6</v>
      </c>
      <c r="D97" s="16">
        <v>-4</v>
      </c>
      <c r="F97" s="12">
        <f t="shared" si="36"/>
        <v>0.35036646300418522</v>
      </c>
      <c r="G97" s="12">
        <f t="shared" si="37"/>
        <v>5.839441050069754E-2</v>
      </c>
      <c r="H97" s="29">
        <f t="shared" si="40"/>
        <v>5.839441050069754E-2</v>
      </c>
      <c r="I97" s="12">
        <f t="shared" si="39"/>
        <v>0.12694499454175559</v>
      </c>
    </row>
    <row r="98" spans="1:9" x14ac:dyDescent="0.3">
      <c r="A98" s="1" t="s">
        <v>170</v>
      </c>
      <c r="B98">
        <f>$Q$14</f>
        <v>1</v>
      </c>
      <c r="C98">
        <v>1</v>
      </c>
      <c r="D98" s="16">
        <v>0</v>
      </c>
      <c r="F98" s="12">
        <f t="shared" si="36"/>
        <v>0.5</v>
      </c>
      <c r="G98" s="12">
        <f t="shared" si="37"/>
        <v>0.5</v>
      </c>
      <c r="H98" s="29">
        <f t="shared" si="40"/>
        <v>0.5</v>
      </c>
      <c r="I98" s="12">
        <f t="shared" si="39"/>
        <v>1.0869618637578267</v>
      </c>
    </row>
    <row r="99" spans="1:9" x14ac:dyDescent="0.3">
      <c r="A99" s="1" t="s">
        <v>172</v>
      </c>
      <c r="B99">
        <f>$Q$14</f>
        <v>1</v>
      </c>
      <c r="C99">
        <v>4</v>
      </c>
      <c r="D99" s="16">
        <v>-8</v>
      </c>
      <c r="F99" s="12">
        <f t="shared" si="36"/>
        <v>0.20073292600837045</v>
      </c>
      <c r="G99" s="12">
        <f t="shared" si="37"/>
        <v>5.0183231502092612E-2</v>
      </c>
      <c r="H99" s="29">
        <f t="shared" si="40"/>
        <v>5.0183231502092612E-2</v>
      </c>
      <c r="I99" s="12">
        <f t="shared" si="39"/>
        <v>0.10909451768581013</v>
      </c>
    </row>
    <row r="100" spans="1:9" x14ac:dyDescent="0.3">
      <c r="A100" s="1" t="s">
        <v>183</v>
      </c>
      <c r="B100">
        <f>$Q$14</f>
        <v>1</v>
      </c>
      <c r="C100">
        <v>1</v>
      </c>
      <c r="D100" s="16">
        <v>-2</v>
      </c>
      <c r="F100" s="12">
        <f t="shared" si="36"/>
        <v>0.42518323150209258</v>
      </c>
      <c r="G100" s="12">
        <f t="shared" si="37"/>
        <v>0.42518323150209258</v>
      </c>
      <c r="H100" s="29">
        <f t="shared" si="40"/>
        <v>0.42518323150209258</v>
      </c>
      <c r="I100" s="12">
        <f t="shared" si="39"/>
        <v>0.92431591550418002</v>
      </c>
    </row>
    <row r="101" spans="1:9" x14ac:dyDescent="0.3">
      <c r="A101" s="1" t="s">
        <v>186</v>
      </c>
      <c r="B101">
        <f>$Q$14</f>
        <v>1</v>
      </c>
      <c r="C101">
        <v>6</v>
      </c>
      <c r="D101" s="16">
        <v>-8</v>
      </c>
      <c r="F101" s="12">
        <f t="shared" si="36"/>
        <v>0.20073292600837045</v>
      </c>
      <c r="G101" s="12">
        <f t="shared" si="37"/>
        <v>3.3455487668061744E-2</v>
      </c>
      <c r="H101" s="29">
        <f t="shared" si="40"/>
        <v>3.3455487668061744E-2</v>
      </c>
      <c r="I101" s="12">
        <f t="shared" si="39"/>
        <v>7.2729678457206764E-2</v>
      </c>
    </row>
    <row r="102" spans="1:9" x14ac:dyDescent="0.3">
      <c r="F102" s="12"/>
      <c r="G102" s="12"/>
      <c r="H102" s="29"/>
      <c r="I102" s="12"/>
    </row>
    <row r="103" spans="1:9" x14ac:dyDescent="0.3">
      <c r="A103" s="40" t="s">
        <v>44</v>
      </c>
      <c r="I103" s="12"/>
    </row>
    <row r="104" spans="1:9" x14ac:dyDescent="0.3">
      <c r="A104" s="42" t="s">
        <v>42</v>
      </c>
      <c r="B104">
        <f>$Q$15</f>
        <v>0.5</v>
      </c>
      <c r="C104">
        <v>2</v>
      </c>
      <c r="D104" s="16">
        <v>-10</v>
      </c>
      <c r="F104" s="12">
        <f t="shared" ref="F104:F146" si="48">((D104/$K$17) * ($M$11+$M$14) + 1) / 2</f>
        <v>0.12591615751046309</v>
      </c>
      <c r="G104" s="12">
        <f t="shared" ref="G104:G146" si="49">F104/C104</f>
        <v>6.2958078755231545E-2</v>
      </c>
      <c r="H104" s="16">
        <f t="shared" ref="H104:H146" si="50">MAX(0, G104*B104)</f>
        <v>3.1479039377615772E-2</v>
      </c>
      <c r="I104" s="12">
        <f t="shared" ref="I104:I146" si="51">100*H104/$M$17</f>
        <v>6.8433030622398514E-2</v>
      </c>
    </row>
    <row r="105" spans="1:9" x14ac:dyDescent="0.3">
      <c r="A105" s="41" t="s">
        <v>49</v>
      </c>
      <c r="B105">
        <f>$Q$15</f>
        <v>0.5</v>
      </c>
      <c r="C105">
        <v>1</v>
      </c>
      <c r="D105" s="16">
        <v>3</v>
      </c>
      <c r="F105" s="12">
        <f t="shared" si="48"/>
        <v>0.61222515274686107</v>
      </c>
      <c r="G105" s="12">
        <f t="shared" si="49"/>
        <v>0.61222515274686107</v>
      </c>
      <c r="H105" s="16">
        <f t="shared" si="50"/>
        <v>0.30611257637343053</v>
      </c>
      <c r="I105" s="12">
        <f t="shared" si="51"/>
        <v>0.66546539306914831</v>
      </c>
    </row>
    <row r="106" spans="1:9" x14ac:dyDescent="0.3">
      <c r="A106" s="42" t="s">
        <v>51</v>
      </c>
      <c r="B106">
        <f>$Q$15</f>
        <v>0.5</v>
      </c>
      <c r="C106">
        <v>7</v>
      </c>
      <c r="D106" s="16">
        <v>5</v>
      </c>
      <c r="F106" s="12">
        <f t="shared" si="48"/>
        <v>0.68704192124476848</v>
      </c>
      <c r="G106" s="12">
        <f t="shared" si="49"/>
        <v>9.8148845892109787E-2</v>
      </c>
      <c r="H106" s="16">
        <f t="shared" si="50"/>
        <v>4.9074422946054894E-2</v>
      </c>
      <c r="I106" s="12">
        <f t="shared" si="51"/>
        <v>0.10668405245656735</v>
      </c>
    </row>
    <row r="107" spans="1:9" x14ac:dyDescent="0.3">
      <c r="A107" s="41" t="s">
        <v>53</v>
      </c>
      <c r="B107">
        <f>$Q$15</f>
        <v>0.5</v>
      </c>
      <c r="C107">
        <v>1</v>
      </c>
      <c r="D107" s="16">
        <v>4</v>
      </c>
      <c r="F107" s="12">
        <f t="shared" si="48"/>
        <v>0.64963353699581483</v>
      </c>
      <c r="G107" s="12">
        <f t="shared" si="49"/>
        <v>0.64963353699581483</v>
      </c>
      <c r="H107" s="16">
        <f t="shared" si="50"/>
        <v>0.32481676849790742</v>
      </c>
      <c r="I107" s="12">
        <f t="shared" si="51"/>
        <v>0.70612688013255998</v>
      </c>
    </row>
    <row r="108" spans="1:9" x14ac:dyDescent="0.3">
      <c r="A108" s="44" t="s">
        <v>62</v>
      </c>
      <c r="B108">
        <f>$Q$15</f>
        <v>0.5</v>
      </c>
      <c r="C108">
        <v>2</v>
      </c>
      <c r="D108" s="16">
        <v>6</v>
      </c>
      <c r="F108" s="12">
        <f t="shared" si="48"/>
        <v>0.72445030549372214</v>
      </c>
      <c r="G108" s="12">
        <f t="shared" si="49"/>
        <v>0.36222515274686107</v>
      </c>
      <c r="H108" s="16">
        <f t="shared" si="50"/>
        <v>0.18111257637343053</v>
      </c>
      <c r="I108" s="12">
        <f t="shared" si="51"/>
        <v>0.39372492712969159</v>
      </c>
    </row>
    <row r="109" spans="1:9" x14ac:dyDescent="0.3">
      <c r="A109" s="41" t="s">
        <v>72</v>
      </c>
      <c r="B109">
        <f>$Q$15</f>
        <v>0.5</v>
      </c>
      <c r="C109">
        <v>2</v>
      </c>
      <c r="D109" s="16">
        <v>5</v>
      </c>
      <c r="F109" s="12">
        <f t="shared" si="48"/>
        <v>0.68704192124476848</v>
      </c>
      <c r="G109" s="12">
        <f t="shared" si="49"/>
        <v>0.34352096062238424</v>
      </c>
      <c r="H109" s="16">
        <f t="shared" si="50"/>
        <v>0.17176048031119212</v>
      </c>
      <c r="I109" s="12">
        <f t="shared" si="51"/>
        <v>0.37339418359798576</v>
      </c>
    </row>
    <row r="110" spans="1:9" x14ac:dyDescent="0.3">
      <c r="A110" s="42" t="s">
        <v>69</v>
      </c>
      <c r="B110">
        <f>$Q$15</f>
        <v>0.5</v>
      </c>
      <c r="C110">
        <v>3</v>
      </c>
      <c r="D110" s="16">
        <v>-5</v>
      </c>
      <c r="F110" s="12">
        <f t="shared" si="48"/>
        <v>0.31295807875523152</v>
      </c>
      <c r="G110" s="12">
        <f t="shared" si="49"/>
        <v>0.10431935958507717</v>
      </c>
      <c r="H110" s="16">
        <f t="shared" si="50"/>
        <v>5.2159679792538584E-2</v>
      </c>
      <c r="I110" s="12">
        <f t="shared" si="51"/>
        <v>0.11339116552061838</v>
      </c>
    </row>
    <row r="111" spans="1:9" x14ac:dyDescent="0.3">
      <c r="A111" s="42" t="s">
        <v>71</v>
      </c>
      <c r="B111">
        <f>$Q$15</f>
        <v>0.5</v>
      </c>
      <c r="C111">
        <v>1</v>
      </c>
      <c r="D111" s="16">
        <v>2</v>
      </c>
      <c r="F111" s="12">
        <f t="shared" si="48"/>
        <v>0.57481676849790742</v>
      </c>
      <c r="G111" s="12">
        <f t="shared" si="49"/>
        <v>0.57481676849790742</v>
      </c>
      <c r="H111" s="16">
        <f t="shared" si="50"/>
        <v>0.28740838424895371</v>
      </c>
      <c r="I111" s="12">
        <f t="shared" si="51"/>
        <v>0.62480390600573665</v>
      </c>
    </row>
    <row r="112" spans="1:9" x14ac:dyDescent="0.3">
      <c r="A112" s="41" t="s">
        <v>73</v>
      </c>
      <c r="B112">
        <f>$Q$15</f>
        <v>0.5</v>
      </c>
      <c r="C112">
        <v>1</v>
      </c>
      <c r="D112" s="16">
        <v>2</v>
      </c>
      <c r="F112" s="12">
        <f t="shared" si="48"/>
        <v>0.57481676849790742</v>
      </c>
      <c r="G112" s="12">
        <f t="shared" si="49"/>
        <v>0.57481676849790742</v>
      </c>
      <c r="H112" s="16">
        <f>MAX(0, G112*B113)</f>
        <v>0.28740838424895371</v>
      </c>
      <c r="I112" s="12">
        <f t="shared" si="51"/>
        <v>0.62480390600573665</v>
      </c>
    </row>
    <row r="113" spans="1:11" x14ac:dyDescent="0.3">
      <c r="A113" s="44" t="s">
        <v>178</v>
      </c>
      <c r="B113">
        <f>$Q$15</f>
        <v>0.5</v>
      </c>
      <c r="C113">
        <v>8</v>
      </c>
      <c r="D113" s="16">
        <v>8</v>
      </c>
      <c r="F113" s="12">
        <f t="shared" si="48"/>
        <v>0.79926707399162955</v>
      </c>
      <c r="G113" s="12">
        <f t="shared" si="49"/>
        <v>9.9908384248953694E-2</v>
      </c>
      <c r="H113" s="16">
        <f t="shared" ref="H113" si="52">MAX(0, G113*B113)</f>
        <v>4.9954192124476847E-2</v>
      </c>
      <c r="I113" s="12">
        <f t="shared" si="51"/>
        <v>0.1085966035482758</v>
      </c>
    </row>
    <row r="114" spans="1:11" x14ac:dyDescent="0.3">
      <c r="A114" s="44" t="s">
        <v>79</v>
      </c>
      <c r="B114">
        <f>$Q$15</f>
        <v>0.5</v>
      </c>
      <c r="C114">
        <v>2</v>
      </c>
      <c r="D114" s="16">
        <v>4</v>
      </c>
      <c r="F114" s="12">
        <f t="shared" si="48"/>
        <v>0.64963353699581483</v>
      </c>
      <c r="G114" s="12">
        <f t="shared" si="49"/>
        <v>0.32481676849790742</v>
      </c>
      <c r="H114" s="16">
        <f t="shared" si="50"/>
        <v>0.16240838424895371</v>
      </c>
      <c r="I114" s="12">
        <f t="shared" si="51"/>
        <v>0.35306344006627999</v>
      </c>
    </row>
    <row r="115" spans="1:11" x14ac:dyDescent="0.3">
      <c r="A115" s="44" t="s">
        <v>85</v>
      </c>
      <c r="B115">
        <f>$Q$15</f>
        <v>0.5</v>
      </c>
      <c r="C115">
        <v>1</v>
      </c>
      <c r="D115" s="16">
        <v>5</v>
      </c>
      <c r="F115" s="12">
        <f t="shared" si="48"/>
        <v>0.68704192124476848</v>
      </c>
      <c r="G115" s="12">
        <f t="shared" si="49"/>
        <v>0.68704192124476848</v>
      </c>
      <c r="H115" s="16">
        <f t="shared" si="50"/>
        <v>0.34352096062238424</v>
      </c>
      <c r="I115" s="12">
        <f t="shared" si="51"/>
        <v>0.74678836719597153</v>
      </c>
    </row>
    <row r="116" spans="1:11" x14ac:dyDescent="0.3">
      <c r="A116" s="42" t="s">
        <v>89</v>
      </c>
      <c r="B116">
        <f>$Q$15</f>
        <v>0.5</v>
      </c>
      <c r="C116">
        <v>6</v>
      </c>
      <c r="D116" s="16">
        <v>5</v>
      </c>
      <c r="F116" s="12">
        <f t="shared" si="48"/>
        <v>0.68704192124476848</v>
      </c>
      <c r="G116" s="12">
        <f t="shared" si="49"/>
        <v>0.11450698687412808</v>
      </c>
      <c r="H116" s="16">
        <f t="shared" si="50"/>
        <v>5.725349343706404E-2</v>
      </c>
      <c r="I116" s="12">
        <f t="shared" si="51"/>
        <v>0.12446472786599526</v>
      </c>
      <c r="K116" s="12"/>
    </row>
    <row r="117" spans="1:11" x14ac:dyDescent="0.3">
      <c r="A117" s="44" t="s">
        <v>179</v>
      </c>
      <c r="B117">
        <f>$Q$15</f>
        <v>0.5</v>
      </c>
      <c r="C117">
        <v>10</v>
      </c>
      <c r="D117" s="16">
        <v>10</v>
      </c>
      <c r="F117" s="12">
        <f t="shared" si="48"/>
        <v>0.87408384248953697</v>
      </c>
      <c r="G117" s="12">
        <f t="shared" si="49"/>
        <v>8.7408384248953697E-2</v>
      </c>
      <c r="H117" s="16">
        <f t="shared" ref="H117" si="53">MAX(0, G117*B117)</f>
        <v>4.3704192124476848E-2</v>
      </c>
      <c r="I117" s="12">
        <f t="shared" si="51"/>
        <v>9.5009580251302961E-2</v>
      </c>
      <c r="K117" s="12"/>
    </row>
    <row r="118" spans="1:11" x14ac:dyDescent="0.3">
      <c r="A118" s="42" t="s">
        <v>99</v>
      </c>
      <c r="B118">
        <f>$Q$15</f>
        <v>0.5</v>
      </c>
      <c r="C118">
        <v>6</v>
      </c>
      <c r="D118" s="16">
        <v>1</v>
      </c>
      <c r="F118" s="12">
        <f t="shared" si="48"/>
        <v>0.53740838424895365</v>
      </c>
      <c r="G118" s="12">
        <f t="shared" si="49"/>
        <v>8.9568064041492271E-2</v>
      </c>
      <c r="H118" s="16">
        <f t="shared" si="50"/>
        <v>4.4784032020746135E-2</v>
      </c>
      <c r="I118" s="12">
        <f t="shared" si="51"/>
        <v>9.7357069823720804E-2</v>
      </c>
    </row>
    <row r="119" spans="1:11" x14ac:dyDescent="0.3">
      <c r="A119" s="42" t="s">
        <v>94</v>
      </c>
      <c r="B119">
        <f>$Q$15</f>
        <v>0.5</v>
      </c>
      <c r="C119">
        <v>0.5</v>
      </c>
      <c r="D119" s="16">
        <v>2</v>
      </c>
      <c r="F119" s="12">
        <f t="shared" si="48"/>
        <v>0.57481676849790742</v>
      </c>
      <c r="G119" s="12">
        <f t="shared" si="49"/>
        <v>1.1496335369958148</v>
      </c>
      <c r="H119" s="16">
        <f t="shared" si="50"/>
        <v>0.57481676849790742</v>
      </c>
      <c r="I119" s="12">
        <f t="shared" si="51"/>
        <v>1.2496078120114733</v>
      </c>
    </row>
    <row r="120" spans="1:11" x14ac:dyDescent="0.3">
      <c r="A120" s="44" t="s">
        <v>95</v>
      </c>
      <c r="B120">
        <f>$Q$15</f>
        <v>0.5</v>
      </c>
      <c r="C120">
        <v>2</v>
      </c>
      <c r="D120" s="16">
        <v>4</v>
      </c>
      <c r="F120" s="12">
        <f t="shared" si="48"/>
        <v>0.64963353699581483</v>
      </c>
      <c r="G120" s="12">
        <f t="shared" si="49"/>
        <v>0.32481676849790742</v>
      </c>
      <c r="H120" s="16">
        <f t="shared" si="50"/>
        <v>0.16240838424895371</v>
      </c>
      <c r="I120" s="12">
        <f t="shared" si="51"/>
        <v>0.35306344006627999</v>
      </c>
    </row>
    <row r="121" spans="1:11" x14ac:dyDescent="0.3">
      <c r="A121" s="43" t="s">
        <v>4</v>
      </c>
      <c r="B121">
        <f>$Q$15</f>
        <v>0.5</v>
      </c>
      <c r="C121">
        <v>6</v>
      </c>
      <c r="D121" s="16">
        <v>9</v>
      </c>
      <c r="F121" s="12">
        <f t="shared" si="48"/>
        <v>0.8366754582405832</v>
      </c>
      <c r="G121" s="12">
        <f t="shared" si="49"/>
        <v>0.13944590970676388</v>
      </c>
      <c r="H121" s="29">
        <f t="shared" si="50"/>
        <v>6.9722954853381938E-2</v>
      </c>
      <c r="I121" s="12">
        <f t="shared" si="51"/>
        <v>0.15157238590826966</v>
      </c>
    </row>
    <row r="122" spans="1:11" x14ac:dyDescent="0.3">
      <c r="A122" s="45" t="s">
        <v>104</v>
      </c>
      <c r="B122">
        <f>$Q$15</f>
        <v>0.5</v>
      </c>
      <c r="C122">
        <v>4</v>
      </c>
      <c r="D122" s="16">
        <v>3</v>
      </c>
      <c r="F122" s="12">
        <f t="shared" si="48"/>
        <v>0.61222515274686107</v>
      </c>
      <c r="G122" s="12">
        <f t="shared" si="49"/>
        <v>0.15305628818671527</v>
      </c>
      <c r="H122" s="29">
        <f t="shared" si="50"/>
        <v>7.6528144093357633E-2</v>
      </c>
      <c r="I122" s="12">
        <f t="shared" si="51"/>
        <v>0.16636634826728708</v>
      </c>
    </row>
    <row r="123" spans="1:11" x14ac:dyDescent="0.3">
      <c r="A123" s="46" t="s">
        <v>112</v>
      </c>
      <c r="B123">
        <f>$Q$15</f>
        <v>0.5</v>
      </c>
      <c r="C123">
        <v>7</v>
      </c>
      <c r="D123" s="16">
        <v>3</v>
      </c>
      <c r="F123" s="12">
        <f t="shared" si="48"/>
        <v>0.61222515274686107</v>
      </c>
      <c r="G123" s="12">
        <f t="shared" si="49"/>
        <v>8.7460736106694442E-2</v>
      </c>
      <c r="H123" s="29">
        <f t="shared" si="50"/>
        <v>4.3730368053347221E-2</v>
      </c>
      <c r="I123" s="12">
        <f t="shared" si="51"/>
        <v>9.5066484724164041E-2</v>
      </c>
    </row>
    <row r="124" spans="1:11" x14ac:dyDescent="0.3">
      <c r="A124" s="43" t="s">
        <v>113</v>
      </c>
      <c r="B124">
        <f>$Q$15</f>
        <v>0.5</v>
      </c>
      <c r="C124">
        <v>5</v>
      </c>
      <c r="D124" s="16">
        <v>5</v>
      </c>
      <c r="F124" s="12">
        <f t="shared" si="48"/>
        <v>0.68704192124476848</v>
      </c>
      <c r="G124" s="12">
        <f t="shared" si="49"/>
        <v>0.13740838424895369</v>
      </c>
      <c r="H124" s="29">
        <f t="shared" si="50"/>
        <v>6.8704192124476843E-2</v>
      </c>
      <c r="I124" s="12">
        <f t="shared" si="51"/>
        <v>0.14935767343919429</v>
      </c>
    </row>
    <row r="125" spans="1:11" x14ac:dyDescent="0.3">
      <c r="A125" s="46" t="s">
        <v>108</v>
      </c>
      <c r="B125">
        <f>$Q$15</f>
        <v>0.5</v>
      </c>
      <c r="C125">
        <v>1</v>
      </c>
      <c r="D125" s="16">
        <v>3</v>
      </c>
      <c r="F125" s="12">
        <f t="shared" si="48"/>
        <v>0.61222515274686107</v>
      </c>
      <c r="G125" s="12">
        <f t="shared" si="49"/>
        <v>0.61222515274686107</v>
      </c>
      <c r="H125" s="29">
        <f t="shared" si="50"/>
        <v>0.30611257637343053</v>
      </c>
      <c r="I125" s="12">
        <f t="shared" si="51"/>
        <v>0.66546539306914831</v>
      </c>
    </row>
    <row r="126" spans="1:11" x14ac:dyDescent="0.3">
      <c r="A126" s="46" t="s">
        <v>118</v>
      </c>
      <c r="B126">
        <f>$Q$15</f>
        <v>0.5</v>
      </c>
      <c r="C126">
        <v>7</v>
      </c>
      <c r="D126" s="16">
        <v>5</v>
      </c>
      <c r="F126" s="12">
        <f t="shared" si="48"/>
        <v>0.68704192124476848</v>
      </c>
      <c r="G126" s="12">
        <f t="shared" si="49"/>
        <v>9.8148845892109787E-2</v>
      </c>
      <c r="H126" s="29">
        <f t="shared" si="50"/>
        <v>4.9074422946054894E-2</v>
      </c>
      <c r="I126" s="12">
        <f t="shared" si="51"/>
        <v>0.10668405245656735</v>
      </c>
    </row>
    <row r="127" spans="1:11" x14ac:dyDescent="0.3">
      <c r="A127" s="43" t="s">
        <v>130</v>
      </c>
      <c r="B127">
        <f>$Q$15</f>
        <v>0.5</v>
      </c>
      <c r="C127">
        <v>3</v>
      </c>
      <c r="D127" s="16">
        <v>6</v>
      </c>
      <c r="F127" s="12">
        <f t="shared" si="48"/>
        <v>0.72445030549372214</v>
      </c>
      <c r="G127" s="12">
        <f t="shared" si="49"/>
        <v>0.24148343516457405</v>
      </c>
      <c r="H127" s="29">
        <f t="shared" si="50"/>
        <v>0.12074171758228702</v>
      </c>
      <c r="I127" s="12">
        <f t="shared" si="51"/>
        <v>0.26248328475312771</v>
      </c>
    </row>
    <row r="128" spans="1:11" x14ac:dyDescent="0.3">
      <c r="A128" s="46" t="s">
        <v>131</v>
      </c>
      <c r="B128">
        <f>$Q$15</f>
        <v>0.5</v>
      </c>
      <c r="C128">
        <v>4</v>
      </c>
      <c r="D128" s="16">
        <v>5</v>
      </c>
      <c r="F128" s="12">
        <f t="shared" si="48"/>
        <v>0.68704192124476848</v>
      </c>
      <c r="G128" s="12">
        <f t="shared" si="49"/>
        <v>0.17176048031119212</v>
      </c>
      <c r="H128" s="29">
        <f t="shared" si="50"/>
        <v>8.588024015559606E-2</v>
      </c>
      <c r="I128" s="12">
        <f t="shared" si="51"/>
        <v>0.18669709179899288</v>
      </c>
    </row>
    <row r="129" spans="1:9" x14ac:dyDescent="0.3">
      <c r="A129" s="43" t="s">
        <v>134</v>
      </c>
      <c r="B129">
        <f>$Q$15</f>
        <v>0.5</v>
      </c>
      <c r="C129">
        <v>7</v>
      </c>
      <c r="D129" s="16">
        <v>7</v>
      </c>
      <c r="F129" s="12">
        <f t="shared" si="48"/>
        <v>0.76185868974267579</v>
      </c>
      <c r="G129" s="12">
        <f t="shared" si="49"/>
        <v>0.10883695567752512</v>
      </c>
      <c r="H129" s="29">
        <f t="shared" si="50"/>
        <v>5.4418477838762559E-2</v>
      </c>
      <c r="I129" s="12">
        <f t="shared" si="51"/>
        <v>0.11830162018897067</v>
      </c>
    </row>
    <row r="130" spans="1:9" x14ac:dyDescent="0.3">
      <c r="A130" s="45" t="s">
        <v>142</v>
      </c>
      <c r="B130">
        <f>$Q$15</f>
        <v>0.5</v>
      </c>
      <c r="C130">
        <v>6</v>
      </c>
      <c r="D130" s="16">
        <v>8</v>
      </c>
      <c r="F130" s="12">
        <f t="shared" si="48"/>
        <v>0.79926707399162955</v>
      </c>
      <c r="G130" s="12">
        <f t="shared" si="49"/>
        <v>0.13321117899860493</v>
      </c>
      <c r="H130" s="29">
        <f t="shared" si="50"/>
        <v>6.6605589499302467E-2</v>
      </c>
      <c r="I130" s="12">
        <f t="shared" si="51"/>
        <v>0.14479547139770108</v>
      </c>
    </row>
    <row r="131" spans="1:9" x14ac:dyDescent="0.3">
      <c r="A131" s="46" t="s">
        <v>143</v>
      </c>
      <c r="B131">
        <f>$Q$15</f>
        <v>0.5</v>
      </c>
      <c r="C131">
        <v>7</v>
      </c>
      <c r="D131" s="16">
        <v>5</v>
      </c>
      <c r="F131" s="12">
        <f t="shared" si="48"/>
        <v>0.68704192124476848</v>
      </c>
      <c r="G131" s="12">
        <f t="shared" si="49"/>
        <v>9.8148845892109787E-2</v>
      </c>
      <c r="H131" s="29">
        <f t="shared" si="50"/>
        <v>4.9074422946054894E-2</v>
      </c>
      <c r="I131" s="12">
        <f t="shared" si="51"/>
        <v>0.10668405245656735</v>
      </c>
    </row>
    <row r="132" spans="1:9" x14ac:dyDescent="0.3">
      <c r="A132" s="46" t="s">
        <v>144</v>
      </c>
      <c r="B132">
        <f>$Q$15</f>
        <v>0.5</v>
      </c>
      <c r="C132">
        <v>10</v>
      </c>
      <c r="D132" s="16">
        <v>9</v>
      </c>
      <c r="F132" s="12">
        <f t="shared" si="48"/>
        <v>0.8366754582405832</v>
      </c>
      <c r="G132" s="12">
        <f t="shared" si="49"/>
        <v>8.3667545824058318E-2</v>
      </c>
      <c r="H132" s="29">
        <f t="shared" si="50"/>
        <v>4.1833772912029159E-2</v>
      </c>
      <c r="I132" s="12">
        <f t="shared" si="51"/>
        <v>9.0943431544961803E-2</v>
      </c>
    </row>
    <row r="133" spans="1:9" x14ac:dyDescent="0.3">
      <c r="A133" s="43" t="s">
        <v>152</v>
      </c>
      <c r="B133">
        <f>$Q$15</f>
        <v>0.5</v>
      </c>
      <c r="C133">
        <v>5</v>
      </c>
      <c r="D133" s="16">
        <v>3</v>
      </c>
      <c r="F133" s="12">
        <f t="shared" si="48"/>
        <v>0.61222515274686107</v>
      </c>
      <c r="G133" s="12">
        <f t="shared" si="49"/>
        <v>0.12244503054937221</v>
      </c>
      <c r="H133" s="29">
        <f t="shared" si="50"/>
        <v>6.1222515274686105E-2</v>
      </c>
      <c r="I133" s="12">
        <f t="shared" si="51"/>
        <v>0.13309307861382963</v>
      </c>
    </row>
    <row r="134" spans="1:9" x14ac:dyDescent="0.3">
      <c r="A134" s="43" t="s">
        <v>158</v>
      </c>
      <c r="B134">
        <f>$Q$15</f>
        <v>0.5</v>
      </c>
      <c r="C134">
        <v>0.7</v>
      </c>
      <c r="D134" s="16">
        <v>4</v>
      </c>
      <c r="F134" s="12">
        <f t="shared" si="48"/>
        <v>0.64963353699581483</v>
      </c>
      <c r="G134" s="12">
        <f t="shared" si="49"/>
        <v>0.9280479099940212</v>
      </c>
      <c r="H134" s="29">
        <f t="shared" si="50"/>
        <v>0.4640239549970106</v>
      </c>
      <c r="I134" s="12">
        <f t="shared" si="51"/>
        <v>1.0087526859036571</v>
      </c>
    </row>
    <row r="135" spans="1:9" x14ac:dyDescent="0.3">
      <c r="A135" s="43" t="s">
        <v>181</v>
      </c>
      <c r="B135">
        <f>$Q$15</f>
        <v>0.5</v>
      </c>
      <c r="C135">
        <v>6</v>
      </c>
      <c r="D135" s="16">
        <v>9</v>
      </c>
      <c r="F135" s="12">
        <f t="shared" si="48"/>
        <v>0.8366754582405832</v>
      </c>
      <c r="G135" s="12">
        <f t="shared" si="49"/>
        <v>0.13944590970676388</v>
      </c>
      <c r="H135" s="29">
        <f t="shared" si="50"/>
        <v>6.9722954853381938E-2</v>
      </c>
      <c r="I135" s="12">
        <f t="shared" si="51"/>
        <v>0.15157238590826966</v>
      </c>
    </row>
    <row r="136" spans="1:9" x14ac:dyDescent="0.3">
      <c r="A136" s="46" t="s">
        <v>154</v>
      </c>
      <c r="B136">
        <f>$Q$15</f>
        <v>0.5</v>
      </c>
      <c r="C136">
        <v>6</v>
      </c>
      <c r="D136" s="16">
        <v>5</v>
      </c>
      <c r="F136" s="12">
        <f t="shared" si="48"/>
        <v>0.68704192124476848</v>
      </c>
      <c r="G136" s="12">
        <f t="shared" si="49"/>
        <v>0.11450698687412808</v>
      </c>
      <c r="H136" s="29">
        <f t="shared" si="50"/>
        <v>5.725349343706404E-2</v>
      </c>
      <c r="I136" s="12">
        <f t="shared" si="51"/>
        <v>0.12446472786599526</v>
      </c>
    </row>
    <row r="137" spans="1:9" x14ac:dyDescent="0.3">
      <c r="A137" s="46" t="s">
        <v>180</v>
      </c>
      <c r="B137">
        <f>$Q$15</f>
        <v>0.5</v>
      </c>
      <c r="C137">
        <v>5</v>
      </c>
      <c r="D137" s="16">
        <v>8</v>
      </c>
      <c r="F137" s="12">
        <f t="shared" si="48"/>
        <v>0.79926707399162955</v>
      </c>
      <c r="G137" s="12">
        <f>F137/C137</f>
        <v>0.1598534147983259</v>
      </c>
      <c r="H137" s="29">
        <f>MAX(0, G137*B137)</f>
        <v>7.9926707399162952E-2</v>
      </c>
      <c r="I137" s="12">
        <f t="shared" si="51"/>
        <v>0.17375456567724126</v>
      </c>
    </row>
    <row r="138" spans="1:9" x14ac:dyDescent="0.3">
      <c r="A138" s="45" t="s">
        <v>155</v>
      </c>
      <c r="B138">
        <f>$Q$15</f>
        <v>0.5</v>
      </c>
      <c r="C138">
        <v>3</v>
      </c>
      <c r="D138" s="16">
        <v>7</v>
      </c>
      <c r="F138" s="12">
        <f t="shared" si="48"/>
        <v>0.76185868974267579</v>
      </c>
      <c r="G138" s="12">
        <f t="shared" si="49"/>
        <v>0.25395289658089193</v>
      </c>
      <c r="H138" s="29">
        <f t="shared" si="50"/>
        <v>0.12697644829044596</v>
      </c>
      <c r="I138" s="12">
        <f t="shared" si="51"/>
        <v>0.27603711377426493</v>
      </c>
    </row>
    <row r="139" spans="1:9" x14ac:dyDescent="0.3">
      <c r="A139" s="46" t="s">
        <v>156</v>
      </c>
      <c r="B139">
        <f>$Q$15</f>
        <v>0.5</v>
      </c>
      <c r="C139">
        <v>15</v>
      </c>
      <c r="D139" s="16">
        <v>7</v>
      </c>
      <c r="F139" s="12">
        <f t="shared" si="48"/>
        <v>0.76185868974267579</v>
      </c>
      <c r="G139" s="12">
        <f t="shared" si="49"/>
        <v>5.0790579316178384E-2</v>
      </c>
      <c r="H139" s="29">
        <f t="shared" si="50"/>
        <v>2.5395289658089192E-2</v>
      </c>
      <c r="I139" s="12">
        <f t="shared" si="51"/>
        <v>5.5207422754852978E-2</v>
      </c>
    </row>
    <row r="140" spans="1:9" x14ac:dyDescent="0.3">
      <c r="A140" s="45" t="s">
        <v>167</v>
      </c>
      <c r="B140">
        <f>$Q$15</f>
        <v>0.5</v>
      </c>
      <c r="C140">
        <v>2</v>
      </c>
      <c r="D140" s="16">
        <v>4</v>
      </c>
      <c r="F140" s="12">
        <f t="shared" si="48"/>
        <v>0.64963353699581483</v>
      </c>
      <c r="G140" s="12">
        <f t="shared" si="49"/>
        <v>0.32481676849790742</v>
      </c>
      <c r="H140" s="29">
        <f t="shared" si="50"/>
        <v>0.16240838424895371</v>
      </c>
      <c r="I140" s="12">
        <f t="shared" si="51"/>
        <v>0.35306344006627999</v>
      </c>
    </row>
    <row r="141" spans="1:9" x14ac:dyDescent="0.3">
      <c r="A141" s="1" t="s">
        <v>168</v>
      </c>
      <c r="B141">
        <f>$Q$15</f>
        <v>0.5</v>
      </c>
      <c r="C141">
        <v>2</v>
      </c>
      <c r="D141" s="16">
        <v>5</v>
      </c>
      <c r="F141" s="12">
        <f t="shared" si="48"/>
        <v>0.68704192124476848</v>
      </c>
      <c r="G141" s="12">
        <f t="shared" si="49"/>
        <v>0.34352096062238424</v>
      </c>
      <c r="H141" s="16">
        <f t="shared" si="50"/>
        <v>0.17176048031119212</v>
      </c>
      <c r="I141" s="12">
        <f t="shared" si="51"/>
        <v>0.37339418359798576</v>
      </c>
    </row>
    <row r="142" spans="1:9" x14ac:dyDescent="0.3">
      <c r="A142" s="46" t="s">
        <v>169</v>
      </c>
      <c r="B142">
        <f>$Q$15</f>
        <v>0.5</v>
      </c>
      <c r="C142">
        <v>9</v>
      </c>
      <c r="D142" s="16">
        <v>5</v>
      </c>
      <c r="F142" s="12">
        <f t="shared" si="48"/>
        <v>0.68704192124476848</v>
      </c>
      <c r="G142" s="12">
        <f t="shared" si="49"/>
        <v>7.6337991249418716E-2</v>
      </c>
      <c r="H142" s="16">
        <f t="shared" si="50"/>
        <v>3.8168995624709358E-2</v>
      </c>
      <c r="I142" s="12">
        <f t="shared" si="51"/>
        <v>8.2976485243996839E-2</v>
      </c>
    </row>
    <row r="143" spans="1:9" x14ac:dyDescent="0.3">
      <c r="A143" s="43" t="s">
        <v>171</v>
      </c>
      <c r="B143">
        <f>$Q$15</f>
        <v>0.5</v>
      </c>
      <c r="C143">
        <v>0.6</v>
      </c>
      <c r="D143" s="16">
        <v>3</v>
      </c>
      <c r="F143" s="12">
        <f t="shared" si="48"/>
        <v>0.61222515274686107</v>
      </c>
      <c r="G143" s="12">
        <f t="shared" si="49"/>
        <v>1.0203752545781017</v>
      </c>
      <c r="H143" s="16">
        <f t="shared" si="50"/>
        <v>0.51018762728905087</v>
      </c>
      <c r="I143" s="12">
        <f t="shared" si="51"/>
        <v>1.1091089884485803</v>
      </c>
    </row>
    <row r="144" spans="1:9" x14ac:dyDescent="0.3">
      <c r="A144" s="43" t="s">
        <v>173</v>
      </c>
      <c r="B144">
        <f>$Q$15</f>
        <v>0.5</v>
      </c>
      <c r="C144">
        <v>8</v>
      </c>
      <c r="D144" s="16">
        <v>7</v>
      </c>
      <c r="F144" s="12">
        <f t="shared" si="48"/>
        <v>0.76185868974267579</v>
      </c>
      <c r="G144" s="12">
        <f t="shared" si="49"/>
        <v>9.5232336217834473E-2</v>
      </c>
      <c r="H144" s="16">
        <f t="shared" si="50"/>
        <v>4.7616168108917237E-2</v>
      </c>
      <c r="I144" s="12">
        <f t="shared" si="51"/>
        <v>0.10351391766534934</v>
      </c>
    </row>
    <row r="145" spans="1:9" x14ac:dyDescent="0.3">
      <c r="A145" s="43" t="s">
        <v>177</v>
      </c>
      <c r="B145">
        <f>$Q$15</f>
        <v>0.5</v>
      </c>
      <c r="C145">
        <v>7</v>
      </c>
      <c r="D145" s="16">
        <v>6</v>
      </c>
      <c r="F145" s="12">
        <f t="shared" si="48"/>
        <v>0.72445030549372214</v>
      </c>
      <c r="G145" s="12">
        <f t="shared" si="49"/>
        <v>0.10349290078481745</v>
      </c>
      <c r="H145" s="16">
        <f t="shared" si="50"/>
        <v>5.1746450392408723E-2</v>
      </c>
      <c r="I145" s="12">
        <f t="shared" si="51"/>
        <v>0.11249283632276902</v>
      </c>
    </row>
    <row r="146" spans="1:9" x14ac:dyDescent="0.3">
      <c r="A146" s="46" t="s">
        <v>184</v>
      </c>
      <c r="B146">
        <f>$Q$15</f>
        <v>0.5</v>
      </c>
      <c r="C146">
        <v>9</v>
      </c>
      <c r="D146" s="16">
        <v>6</v>
      </c>
      <c r="F146" s="12">
        <f t="shared" si="48"/>
        <v>0.72445030549372214</v>
      </c>
      <c r="G146" s="12">
        <f t="shared" si="49"/>
        <v>8.0494478388191348E-2</v>
      </c>
      <c r="H146" s="16">
        <f t="shared" si="50"/>
        <v>4.0247239194095674E-2</v>
      </c>
      <c r="I146" s="12">
        <f t="shared" si="51"/>
        <v>8.7494428251042561E-2</v>
      </c>
    </row>
    <row r="147" spans="1:9" x14ac:dyDescent="0.3">
      <c r="A147" s="45"/>
      <c r="F147" s="12"/>
      <c r="G147" s="12"/>
      <c r="H147" s="29"/>
      <c r="I147" s="12"/>
    </row>
    <row r="148" spans="1:9" x14ac:dyDescent="0.3">
      <c r="A148" s="40" t="s">
        <v>46</v>
      </c>
      <c r="I148" s="12"/>
    </row>
    <row r="149" spans="1:9" x14ac:dyDescent="0.3">
      <c r="A149" s="1" t="s">
        <v>50</v>
      </c>
      <c r="B149">
        <f>$Q$15</f>
        <v>0.5</v>
      </c>
      <c r="C149">
        <v>1</v>
      </c>
      <c r="D149" s="16">
        <v>5</v>
      </c>
      <c r="F149" s="12">
        <f t="shared" ref="F149:F161" si="54">((D149/$K$17) * ($M$11+$M$14) + 1) / 2</f>
        <v>0.68704192124476848</v>
      </c>
      <c r="G149" s="12">
        <f>F149/C149</f>
        <v>0.68704192124476848</v>
      </c>
      <c r="H149" s="29">
        <f>MAX(0, G149*B149)</f>
        <v>0.34352096062238424</v>
      </c>
      <c r="I149" s="12">
        <f t="shared" ref="I149:I161" si="55">100*H149/$M$17</f>
        <v>0.74678836719597153</v>
      </c>
    </row>
    <row r="150" spans="1:9" x14ac:dyDescent="0.3">
      <c r="A150" s="45" t="s">
        <v>146</v>
      </c>
      <c r="B150">
        <f>$Q$15</f>
        <v>0.5</v>
      </c>
      <c r="C150">
        <v>5</v>
      </c>
      <c r="D150" s="16">
        <v>4</v>
      </c>
      <c r="F150" s="12">
        <f t="shared" si="54"/>
        <v>0.64963353699581483</v>
      </c>
      <c r="G150" s="12">
        <f>F150/C150</f>
        <v>0.12992670739916296</v>
      </c>
      <c r="H150" s="29">
        <f>MAX(0, G150*B150)</f>
        <v>6.4963353699581478E-2</v>
      </c>
      <c r="I150" s="12">
        <f t="shared" si="55"/>
        <v>0.14122537602651197</v>
      </c>
    </row>
    <row r="151" spans="1:9" x14ac:dyDescent="0.3">
      <c r="A151" s="1" t="s">
        <v>82</v>
      </c>
      <c r="B151">
        <f>$Q$15</f>
        <v>0.5</v>
      </c>
      <c r="C151">
        <v>1</v>
      </c>
      <c r="D151" s="16">
        <v>6</v>
      </c>
      <c r="F151" s="12">
        <f t="shared" si="54"/>
        <v>0.72445030549372214</v>
      </c>
      <c r="G151" s="12">
        <f>F151/C151</f>
        <v>0.72445030549372214</v>
      </c>
      <c r="H151" s="29">
        <f>MAX(0, G151*B151)</f>
        <v>0.36222515274686107</v>
      </c>
      <c r="I151" s="12">
        <f t="shared" si="55"/>
        <v>0.78744985425938319</v>
      </c>
    </row>
    <row r="152" spans="1:9" x14ac:dyDescent="0.3">
      <c r="A152" s="1" t="s">
        <v>119</v>
      </c>
      <c r="B152">
        <f>$Q$15</f>
        <v>0.5</v>
      </c>
      <c r="C152">
        <v>3</v>
      </c>
      <c r="D152" s="16">
        <v>3</v>
      </c>
      <c r="F152" s="12">
        <f t="shared" si="54"/>
        <v>0.61222515274686107</v>
      </c>
      <c r="G152" s="12">
        <f t="shared" ref="G152:G153" si="56">F152/C152</f>
        <v>0.20407505091562037</v>
      </c>
      <c r="H152" s="16">
        <f t="shared" ref="H152:H153" si="57">MAX(0, G152*B152)</f>
        <v>0.10203752545781018</v>
      </c>
      <c r="I152" s="12">
        <f t="shared" si="55"/>
        <v>0.22182179768971608</v>
      </c>
    </row>
    <row r="153" spans="1:9" x14ac:dyDescent="0.3">
      <c r="A153" s="1" t="s">
        <v>120</v>
      </c>
      <c r="B153">
        <f>$Q$15</f>
        <v>0.5</v>
      </c>
      <c r="C153">
        <v>1</v>
      </c>
      <c r="D153" s="16">
        <v>-3</v>
      </c>
      <c r="F153" s="12">
        <f t="shared" si="54"/>
        <v>0.38777484725313893</v>
      </c>
      <c r="G153" s="12">
        <f t="shared" si="56"/>
        <v>0.38777484725313893</v>
      </c>
      <c r="H153" s="16">
        <f t="shared" si="57"/>
        <v>0.19388742362656947</v>
      </c>
      <c r="I153" s="12">
        <f t="shared" si="55"/>
        <v>0.4214964706886784</v>
      </c>
    </row>
    <row r="154" spans="1:9" x14ac:dyDescent="0.3">
      <c r="A154" s="1" t="s">
        <v>39</v>
      </c>
      <c r="B154">
        <f>$Q$15</f>
        <v>0.5</v>
      </c>
      <c r="C154">
        <v>7</v>
      </c>
      <c r="D154" s="16">
        <v>8</v>
      </c>
      <c r="F154" s="12">
        <f t="shared" si="54"/>
        <v>0.79926707399162955</v>
      </c>
      <c r="G154" s="12">
        <f>F154/C154</f>
        <v>0.11418101057023279</v>
      </c>
      <c r="H154" s="16">
        <f>MAX(0, G154*B154)</f>
        <v>5.7090505285116395E-2</v>
      </c>
      <c r="I154" s="12">
        <f t="shared" si="55"/>
        <v>0.12411040405517233</v>
      </c>
    </row>
    <row r="155" spans="1:9" x14ac:dyDescent="0.3">
      <c r="A155" s="1" t="s">
        <v>121</v>
      </c>
      <c r="B155">
        <f>$Q$15</f>
        <v>0.5</v>
      </c>
      <c r="C155">
        <v>6</v>
      </c>
      <c r="D155" s="16">
        <v>7</v>
      </c>
      <c r="F155" s="12">
        <f t="shared" si="54"/>
        <v>0.76185868974267579</v>
      </c>
      <c r="G155" s="12">
        <f t="shared" ref="G155:G159" si="58">F155/C155</f>
        <v>0.12697644829044596</v>
      </c>
      <c r="H155" s="16">
        <f t="shared" ref="H155:H159" si="59">MAX(0, G155*B155)</f>
        <v>6.3488224145222982E-2</v>
      </c>
      <c r="I155" s="12">
        <f t="shared" si="55"/>
        <v>0.13801855688713247</v>
      </c>
    </row>
    <row r="156" spans="1:9" x14ac:dyDescent="0.3">
      <c r="A156" s="1" t="s">
        <v>122</v>
      </c>
      <c r="B156">
        <f>$Q$15</f>
        <v>0.5</v>
      </c>
      <c r="C156">
        <v>6</v>
      </c>
      <c r="D156" s="16">
        <v>7</v>
      </c>
      <c r="F156" s="12">
        <f t="shared" si="54"/>
        <v>0.76185868974267579</v>
      </c>
      <c r="G156" s="12">
        <f t="shared" si="58"/>
        <v>0.12697644829044596</v>
      </c>
      <c r="H156" s="16">
        <f t="shared" si="59"/>
        <v>6.3488224145222982E-2</v>
      </c>
      <c r="I156" s="12">
        <f t="shared" si="55"/>
        <v>0.13801855688713247</v>
      </c>
    </row>
    <row r="157" spans="1:9" x14ac:dyDescent="0.3">
      <c r="A157" s="1" t="s">
        <v>123</v>
      </c>
      <c r="B157">
        <f>$Q$15</f>
        <v>0.5</v>
      </c>
      <c r="C157">
        <v>1</v>
      </c>
      <c r="D157" s="16">
        <v>-3</v>
      </c>
      <c r="F157" s="12">
        <f t="shared" si="54"/>
        <v>0.38777484725313893</v>
      </c>
      <c r="G157" s="12">
        <f t="shared" si="58"/>
        <v>0.38777484725313893</v>
      </c>
      <c r="H157" s="16">
        <f t="shared" si="59"/>
        <v>0.19388742362656947</v>
      </c>
      <c r="I157" s="12">
        <f t="shared" si="55"/>
        <v>0.4214964706886784</v>
      </c>
    </row>
    <row r="158" spans="1:9" x14ac:dyDescent="0.3">
      <c r="A158" s="1" t="s">
        <v>124</v>
      </c>
      <c r="B158">
        <f>$Q$15</f>
        <v>0.5</v>
      </c>
      <c r="C158">
        <v>2</v>
      </c>
      <c r="D158" s="16">
        <v>3</v>
      </c>
      <c r="F158" s="12">
        <f t="shared" si="54"/>
        <v>0.61222515274686107</v>
      </c>
      <c r="G158" s="12">
        <f t="shared" si="58"/>
        <v>0.30611257637343053</v>
      </c>
      <c r="H158" s="16">
        <f t="shared" si="59"/>
        <v>0.15305628818671527</v>
      </c>
      <c r="I158" s="12">
        <f t="shared" si="55"/>
        <v>0.33273269653457416</v>
      </c>
    </row>
    <row r="159" spans="1:9" x14ac:dyDescent="0.3">
      <c r="A159" s="46" t="s">
        <v>147</v>
      </c>
      <c r="B159">
        <f>$Q$15</f>
        <v>0.5</v>
      </c>
      <c r="C159">
        <v>1</v>
      </c>
      <c r="D159" s="16">
        <v>5</v>
      </c>
      <c r="F159" s="12">
        <f t="shared" si="54"/>
        <v>0.68704192124476848</v>
      </c>
      <c r="G159" s="12">
        <f t="shared" si="58"/>
        <v>0.68704192124476848</v>
      </c>
      <c r="H159" s="16">
        <f t="shared" si="59"/>
        <v>0.34352096062238424</v>
      </c>
      <c r="I159" s="12">
        <f t="shared" si="55"/>
        <v>0.74678836719597153</v>
      </c>
    </row>
    <row r="160" spans="1:9" x14ac:dyDescent="0.3">
      <c r="A160" s="1" t="s">
        <v>5</v>
      </c>
      <c r="B160">
        <f>$Q$15</f>
        <v>0.5</v>
      </c>
      <c r="C160">
        <v>3</v>
      </c>
      <c r="D160" s="16">
        <v>6</v>
      </c>
      <c r="F160" s="12">
        <f t="shared" si="54"/>
        <v>0.72445030549372214</v>
      </c>
      <c r="G160" s="12">
        <f>F160/C160</f>
        <v>0.24148343516457405</v>
      </c>
      <c r="H160" s="29">
        <f>MAX(0, G160*B160)</f>
        <v>0.12074171758228702</v>
      </c>
      <c r="I160" s="12">
        <f t="shared" si="55"/>
        <v>0.26248328475312771</v>
      </c>
    </row>
    <row r="161" spans="1:9" x14ac:dyDescent="0.3">
      <c r="A161" s="46" t="s">
        <v>182</v>
      </c>
      <c r="B161">
        <f>$Q$15</f>
        <v>0.5</v>
      </c>
      <c r="C161">
        <v>2</v>
      </c>
      <c r="D161" s="16">
        <v>8</v>
      </c>
      <c r="F161" s="12">
        <f t="shared" si="54"/>
        <v>0.79926707399162955</v>
      </c>
      <c r="G161" s="12">
        <f>F161/C161</f>
        <v>0.39963353699581478</v>
      </c>
      <c r="H161" s="16">
        <f>MAX(0, G161*B161)</f>
        <v>0.19981676849790739</v>
      </c>
      <c r="I161" s="12">
        <f t="shared" si="55"/>
        <v>0.4343864141931032</v>
      </c>
    </row>
  </sheetData>
  <conditionalFormatting sqref="C1:C1048576">
    <cfRule type="colorScale" priority="7">
      <colorScale>
        <cfvo type="min"/>
        <cfvo type="max"/>
        <color rgb="FFFCFCFF"/>
        <color rgb="FFF8696B"/>
      </colorScale>
    </cfRule>
  </conditionalFormatting>
  <conditionalFormatting sqref="D147:D1048576 D46:D140 D1:D44">
    <cfRule type="colorScale" priority="2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47:H1048576 H1:H14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:H5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:H102 H160 H121:H140 H147 H149:H151 H3:H1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60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3:I46">
    <cfRule type="colorScale" priority="2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04:I120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:D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12:S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1246-0830-4664-9492-3968775D14E5}">
  <dimension ref="A1:U550"/>
  <sheetViews>
    <sheetView workbookViewId="0">
      <selection activeCell="D11" sqref="D11"/>
    </sheetView>
  </sheetViews>
  <sheetFormatPr defaultRowHeight="14.4" x14ac:dyDescent="0.3"/>
  <cols>
    <col min="1" max="1" width="10.109375" customWidth="1"/>
    <col min="2" max="3" width="11" customWidth="1"/>
    <col min="4" max="4" width="16.5546875" customWidth="1"/>
    <col min="5" max="5" width="8.88671875" style="2"/>
  </cols>
  <sheetData>
    <row r="1" spans="1:21" s="4" customFormat="1" x14ac:dyDescent="0.3">
      <c r="A1" s="4" t="s">
        <v>22</v>
      </c>
      <c r="B1" s="4" t="s">
        <v>7</v>
      </c>
      <c r="C1" s="4" t="s">
        <v>27</v>
      </c>
      <c r="D1" s="4" t="s">
        <v>9</v>
      </c>
      <c r="E1" s="5" t="s">
        <v>11</v>
      </c>
      <c r="F1" s="4" t="s">
        <v>10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</row>
    <row r="2" spans="1:21" x14ac:dyDescent="0.3">
      <c r="A2" s="6">
        <v>45992</v>
      </c>
      <c r="B2" s="8">
        <f xml:space="preserve"> A2 - DATE(YEAR(A2), 1, 1) + 1</f>
        <v>335</v>
      </c>
      <c r="C2" s="8">
        <f>MIN(ABS(359-B2), 365-ABS(359-B2))</f>
        <v>24</v>
      </c>
      <c r="D2" s="7">
        <f>MAX(0, $T$4 - (C2/$U$4)) ^ $T$7 - $U$7</f>
        <v>0.2035533905932739</v>
      </c>
      <c r="F2">
        <f>(-10/10) * $D2</f>
        <v>-0.2035533905932739</v>
      </c>
      <c r="G2">
        <f>(-8/10) * $D2</f>
        <v>-0.16284271247461912</v>
      </c>
      <c r="H2">
        <f>(-6/10) * $D2</f>
        <v>-0.12213203435596434</v>
      </c>
      <c r="I2">
        <f>(-4/10) * $D2</f>
        <v>-8.1421356237309561E-2</v>
      </c>
      <c r="J2">
        <f>(-2/10) * $D2</f>
        <v>-4.0710678118654781E-2</v>
      </c>
      <c r="K2">
        <f>(0/10) * $D2</f>
        <v>0</v>
      </c>
      <c r="L2">
        <f>(2/10) * $D2</f>
        <v>4.0710678118654781E-2</v>
      </c>
      <c r="M2">
        <f>(4/10) * $D2</f>
        <v>8.1421356237309561E-2</v>
      </c>
      <c r="N2">
        <f>(6/10) * $D2</f>
        <v>0.12213203435596434</v>
      </c>
      <c r="O2">
        <f>(8/10) * $D2</f>
        <v>0.16284271247461912</v>
      </c>
      <c r="P2">
        <f>(10/10) * $D2</f>
        <v>0.2035533905932739</v>
      </c>
    </row>
    <row r="3" spans="1:21" x14ac:dyDescent="0.3">
      <c r="A3" s="6">
        <v>45993</v>
      </c>
      <c r="B3" s="8">
        <f t="shared" ref="B3:B66" si="0" xml:space="preserve"> A3 - DATE(YEAR(A3), 1, 1) + 1</f>
        <v>336</v>
      </c>
      <c r="C3" s="8">
        <f t="shared" ref="C3:C66" si="1">MIN(ABS(359-B3), 365-ABS(359-B3))</f>
        <v>23</v>
      </c>
      <c r="D3" s="7">
        <f t="shared" ref="D3:D66" si="2">MAX(0, $T$4 - (C3/$U$4)) ^ $T$7 - $U$7</f>
        <v>0.23039863958747295</v>
      </c>
      <c r="F3">
        <f t="shared" ref="F3:F66" si="3">(-10/10) * D3</f>
        <v>-0.23039863958747295</v>
      </c>
      <c r="G3">
        <f t="shared" ref="G3:G66" si="4">(-8/10) * $D3</f>
        <v>-0.18431891166997838</v>
      </c>
      <c r="H3">
        <f t="shared" ref="H3:H66" si="5">(-6/10) * $D3</f>
        <v>-0.13823918375248376</v>
      </c>
      <c r="I3">
        <f t="shared" ref="I3:I66" si="6">(-4/10) * $D3</f>
        <v>-9.215945583498919E-2</v>
      </c>
      <c r="J3">
        <f t="shared" ref="J3:J66" si="7">(-2/10) * $D3</f>
        <v>-4.6079727917494595E-2</v>
      </c>
      <c r="K3">
        <f t="shared" ref="K3:K66" si="8">(0/10) * $D3</f>
        <v>0</v>
      </c>
      <c r="L3">
        <f t="shared" ref="L3:L66" si="9">(2/10) * $D3</f>
        <v>4.6079727917494595E-2</v>
      </c>
      <c r="M3">
        <f t="shared" ref="M3:M66" si="10">(4/10) * $D3</f>
        <v>9.215945583498919E-2</v>
      </c>
      <c r="N3">
        <f t="shared" ref="N3:N66" si="11">(6/10) * $D3</f>
        <v>0.13823918375248376</v>
      </c>
      <c r="O3">
        <f t="shared" ref="O3:O66" si="12">(8/10) * $D3</f>
        <v>0.18431891166997838</v>
      </c>
      <c r="P3">
        <f t="shared" ref="P3:P66" si="13">(10/10) * $D3</f>
        <v>0.23039863958747295</v>
      </c>
      <c r="T3" s="13" t="s">
        <v>24</v>
      </c>
      <c r="U3" s="14" t="s">
        <v>26</v>
      </c>
    </row>
    <row r="4" spans="1:21" x14ac:dyDescent="0.3">
      <c r="A4" s="6">
        <v>45994</v>
      </c>
      <c r="B4" s="8">
        <f t="shared" si="0"/>
        <v>337</v>
      </c>
      <c r="C4" s="8">
        <f t="shared" si="1"/>
        <v>22</v>
      </c>
      <c r="D4" s="7">
        <f t="shared" si="2"/>
        <v>0.25789091679026155</v>
      </c>
      <c r="F4">
        <f t="shared" si="3"/>
        <v>-0.25789091679026155</v>
      </c>
      <c r="G4">
        <f t="shared" si="4"/>
        <v>-0.20631273343220924</v>
      </c>
      <c r="H4">
        <f t="shared" si="5"/>
        <v>-0.15473455007415693</v>
      </c>
      <c r="I4">
        <f t="shared" si="6"/>
        <v>-0.10315636671610462</v>
      </c>
      <c r="J4">
        <f t="shared" si="7"/>
        <v>-5.157818335805231E-2</v>
      </c>
      <c r="K4">
        <f t="shared" si="8"/>
        <v>0</v>
      </c>
      <c r="L4">
        <f t="shared" si="9"/>
        <v>5.157818335805231E-2</v>
      </c>
      <c r="M4">
        <f t="shared" si="10"/>
        <v>0.10315636671610462</v>
      </c>
      <c r="N4">
        <f t="shared" si="11"/>
        <v>0.15473455007415693</v>
      </c>
      <c r="O4">
        <f t="shared" si="12"/>
        <v>0.20631273343220924</v>
      </c>
      <c r="P4">
        <f t="shared" si="13"/>
        <v>0.25789091679026155</v>
      </c>
      <c r="T4" s="15">
        <v>1.1000000000000001</v>
      </c>
      <c r="U4" s="16">
        <v>40</v>
      </c>
    </row>
    <row r="5" spans="1:21" x14ac:dyDescent="0.3">
      <c r="A5" s="6">
        <v>45995</v>
      </c>
      <c r="B5" s="8">
        <f t="shared" si="0"/>
        <v>338</v>
      </c>
      <c r="C5" s="8">
        <f t="shared" si="1"/>
        <v>21</v>
      </c>
      <c r="D5" s="7">
        <f t="shared" si="2"/>
        <v>0.28601533803296431</v>
      </c>
      <c r="F5">
        <f t="shared" si="3"/>
        <v>-0.28601533803296431</v>
      </c>
      <c r="G5">
        <f t="shared" si="4"/>
        <v>-0.22881227042637145</v>
      </c>
      <c r="H5">
        <f t="shared" si="5"/>
        <v>-0.17160920281977857</v>
      </c>
      <c r="I5">
        <f t="shared" si="6"/>
        <v>-0.11440613521318573</v>
      </c>
      <c r="J5">
        <f t="shared" si="7"/>
        <v>-5.7203067606592863E-2</v>
      </c>
      <c r="K5">
        <f t="shared" si="8"/>
        <v>0</v>
      </c>
      <c r="L5">
        <f t="shared" si="9"/>
        <v>5.7203067606592863E-2</v>
      </c>
      <c r="M5">
        <f t="shared" si="10"/>
        <v>0.11440613521318573</v>
      </c>
      <c r="N5">
        <f t="shared" si="11"/>
        <v>0.17160920281977857</v>
      </c>
      <c r="O5">
        <f t="shared" si="12"/>
        <v>0.22881227042637145</v>
      </c>
      <c r="P5">
        <f t="shared" si="13"/>
        <v>0.28601533803296431</v>
      </c>
      <c r="S5" s="21" t="s">
        <v>28</v>
      </c>
      <c r="T5" s="15"/>
      <c r="U5" s="16"/>
    </row>
    <row r="6" spans="1:21" x14ac:dyDescent="0.3">
      <c r="A6" s="6">
        <v>45996</v>
      </c>
      <c r="B6" s="8">
        <f t="shared" si="0"/>
        <v>339</v>
      </c>
      <c r="C6" s="8">
        <f t="shared" si="1"/>
        <v>20</v>
      </c>
      <c r="D6" s="7">
        <f t="shared" si="2"/>
        <v>0.3147580015448902</v>
      </c>
      <c r="F6">
        <f t="shared" si="3"/>
        <v>-0.3147580015448902</v>
      </c>
      <c r="G6">
        <f t="shared" si="4"/>
        <v>-0.25180640123591219</v>
      </c>
      <c r="H6">
        <f t="shared" si="5"/>
        <v>-0.1888548009269341</v>
      </c>
      <c r="I6">
        <f t="shared" si="6"/>
        <v>-0.1259032006179561</v>
      </c>
      <c r="J6">
        <f t="shared" si="7"/>
        <v>-6.2951600308978048E-2</v>
      </c>
      <c r="K6">
        <f t="shared" si="8"/>
        <v>0</v>
      </c>
      <c r="L6">
        <f t="shared" si="9"/>
        <v>6.2951600308978048E-2</v>
      </c>
      <c r="M6">
        <f t="shared" si="10"/>
        <v>0.1259032006179561</v>
      </c>
      <c r="N6">
        <f t="shared" si="11"/>
        <v>0.1888548009269341</v>
      </c>
      <c r="O6">
        <f t="shared" si="12"/>
        <v>0.25180640123591219</v>
      </c>
      <c r="P6">
        <f t="shared" si="13"/>
        <v>0.3147580015448902</v>
      </c>
      <c r="T6" s="17" t="s">
        <v>23</v>
      </c>
      <c r="U6" s="18" t="s">
        <v>25</v>
      </c>
    </row>
    <row r="7" spans="1:21" x14ac:dyDescent="0.3">
      <c r="A7" s="6">
        <v>45997</v>
      </c>
      <c r="B7" s="8">
        <f t="shared" si="0"/>
        <v>340</v>
      </c>
      <c r="C7" s="8">
        <f t="shared" si="1"/>
        <v>19</v>
      </c>
      <c r="D7" s="7">
        <f t="shared" si="2"/>
        <v>0.3441058844013094</v>
      </c>
      <c r="F7">
        <f t="shared" si="3"/>
        <v>-0.3441058844013094</v>
      </c>
      <c r="G7">
        <f t="shared" si="4"/>
        <v>-0.27528470752104756</v>
      </c>
      <c r="H7">
        <f t="shared" si="5"/>
        <v>-0.20646353064078563</v>
      </c>
      <c r="I7">
        <f t="shared" si="6"/>
        <v>-0.13764235376052378</v>
      </c>
      <c r="J7">
        <f t="shared" si="7"/>
        <v>-6.8821176880261889E-2</v>
      </c>
      <c r="K7">
        <f t="shared" si="8"/>
        <v>0</v>
      </c>
      <c r="L7">
        <f t="shared" si="9"/>
        <v>6.8821176880261889E-2</v>
      </c>
      <c r="M7">
        <f t="shared" si="10"/>
        <v>0.13764235376052378</v>
      </c>
      <c r="N7">
        <f t="shared" si="11"/>
        <v>0.20646353064078563</v>
      </c>
      <c r="O7">
        <f t="shared" si="12"/>
        <v>0.27528470752104756</v>
      </c>
      <c r="P7">
        <f t="shared" si="13"/>
        <v>0.3441058844013094</v>
      </c>
      <c r="T7" s="19">
        <v>1.5</v>
      </c>
      <c r="U7" s="20">
        <v>0.15</v>
      </c>
    </row>
    <row r="8" spans="1:21" x14ac:dyDescent="0.3">
      <c r="A8" s="6">
        <v>45998</v>
      </c>
      <c r="B8" s="8">
        <f t="shared" si="0"/>
        <v>341</v>
      </c>
      <c r="C8" s="8">
        <f t="shared" si="1"/>
        <v>18</v>
      </c>
      <c r="D8" s="7">
        <f t="shared" si="2"/>
        <v>0.37404675363940587</v>
      </c>
      <c r="F8">
        <f t="shared" si="3"/>
        <v>-0.37404675363940587</v>
      </c>
      <c r="G8">
        <f t="shared" si="4"/>
        <v>-0.29923740291152473</v>
      </c>
      <c r="H8">
        <f t="shared" si="5"/>
        <v>-0.22442805218364351</v>
      </c>
      <c r="I8">
        <f t="shared" si="6"/>
        <v>-0.14961870145576237</v>
      </c>
      <c r="J8">
        <f t="shared" si="7"/>
        <v>-7.4809350727881183E-2</v>
      </c>
      <c r="K8">
        <f t="shared" si="8"/>
        <v>0</v>
      </c>
      <c r="L8">
        <f t="shared" si="9"/>
        <v>7.4809350727881183E-2</v>
      </c>
      <c r="M8">
        <f t="shared" si="10"/>
        <v>0.14961870145576237</v>
      </c>
      <c r="N8">
        <f t="shared" si="11"/>
        <v>0.22442805218364351</v>
      </c>
      <c r="O8">
        <f t="shared" si="12"/>
        <v>0.29923740291152473</v>
      </c>
      <c r="P8">
        <f t="shared" si="13"/>
        <v>0.37404675363940587</v>
      </c>
    </row>
    <row r="9" spans="1:21" x14ac:dyDescent="0.3">
      <c r="A9" s="6">
        <v>45999</v>
      </c>
      <c r="B9" s="8">
        <f t="shared" si="0"/>
        <v>342</v>
      </c>
      <c r="C9" s="8">
        <f t="shared" si="1"/>
        <v>17</v>
      </c>
      <c r="D9" s="7">
        <f t="shared" si="2"/>
        <v>0.40456908947398074</v>
      </c>
      <c r="F9">
        <f t="shared" si="3"/>
        <v>-0.40456908947398074</v>
      </c>
      <c r="G9">
        <f t="shared" si="4"/>
        <v>-0.32365527157918461</v>
      </c>
      <c r="H9">
        <f t="shared" si="5"/>
        <v>-0.24274145368438843</v>
      </c>
      <c r="I9">
        <f t="shared" si="6"/>
        <v>-0.16182763578959231</v>
      </c>
      <c r="J9">
        <f t="shared" si="7"/>
        <v>-8.0913817894796153E-2</v>
      </c>
      <c r="K9">
        <f t="shared" si="8"/>
        <v>0</v>
      </c>
      <c r="L9">
        <f t="shared" si="9"/>
        <v>8.0913817894796153E-2</v>
      </c>
      <c r="M9">
        <f t="shared" si="10"/>
        <v>0.16182763578959231</v>
      </c>
      <c r="N9">
        <f t="shared" si="11"/>
        <v>0.24274145368438843</v>
      </c>
      <c r="O9">
        <f t="shared" si="12"/>
        <v>0.32365527157918461</v>
      </c>
      <c r="P9">
        <f t="shared" si="13"/>
        <v>0.40456908947398074</v>
      </c>
    </row>
    <row r="10" spans="1:21" x14ac:dyDescent="0.3">
      <c r="A10" s="6">
        <v>46000</v>
      </c>
      <c r="B10" s="8">
        <f t="shared" si="0"/>
        <v>343</v>
      </c>
      <c r="C10" s="8">
        <f t="shared" si="1"/>
        <v>16</v>
      </c>
      <c r="D10" s="7">
        <f t="shared" si="2"/>
        <v>0.43566201857385289</v>
      </c>
      <c r="F10">
        <f t="shared" si="3"/>
        <v>-0.43566201857385289</v>
      </c>
      <c r="G10">
        <f t="shared" si="4"/>
        <v>-0.34852961485908235</v>
      </c>
      <c r="H10">
        <f t="shared" si="5"/>
        <v>-0.26139721114431175</v>
      </c>
      <c r="I10">
        <f t="shared" si="6"/>
        <v>-0.17426480742954117</v>
      </c>
      <c r="J10">
        <f t="shared" si="7"/>
        <v>-8.7132403714770587E-2</v>
      </c>
      <c r="K10">
        <f t="shared" si="8"/>
        <v>0</v>
      </c>
      <c r="L10">
        <f t="shared" si="9"/>
        <v>8.7132403714770587E-2</v>
      </c>
      <c r="M10">
        <f t="shared" si="10"/>
        <v>0.17426480742954117</v>
      </c>
      <c r="N10">
        <f t="shared" si="11"/>
        <v>0.26139721114431175</v>
      </c>
      <c r="O10">
        <f t="shared" si="12"/>
        <v>0.34852961485908235</v>
      </c>
      <c r="P10">
        <f t="shared" si="13"/>
        <v>0.43566201857385289</v>
      </c>
    </row>
    <row r="11" spans="1:21" x14ac:dyDescent="0.3">
      <c r="A11" s="6">
        <v>46001</v>
      </c>
      <c r="B11" s="8">
        <f t="shared" si="0"/>
        <v>344</v>
      </c>
      <c r="C11" s="8">
        <f t="shared" si="1"/>
        <v>15</v>
      </c>
      <c r="D11" s="7">
        <f t="shared" si="2"/>
        <v>0.46731525576483213</v>
      </c>
      <c r="F11">
        <f t="shared" si="3"/>
        <v>-0.46731525576483213</v>
      </c>
      <c r="G11">
        <f t="shared" si="4"/>
        <v>-0.37385220461186575</v>
      </c>
      <c r="H11">
        <f t="shared" si="5"/>
        <v>-0.28038915345889925</v>
      </c>
      <c r="I11">
        <f t="shared" si="6"/>
        <v>-0.18692610230593287</v>
      </c>
      <c r="J11">
        <f t="shared" si="7"/>
        <v>-9.3463051152966437E-2</v>
      </c>
      <c r="K11">
        <f t="shared" si="8"/>
        <v>0</v>
      </c>
      <c r="L11">
        <f t="shared" si="9"/>
        <v>9.3463051152966437E-2</v>
      </c>
      <c r="M11">
        <f t="shared" si="10"/>
        <v>0.18692610230593287</v>
      </c>
      <c r="N11">
        <f t="shared" si="11"/>
        <v>0.28038915345889925</v>
      </c>
      <c r="O11">
        <f t="shared" si="12"/>
        <v>0.37385220461186575</v>
      </c>
      <c r="P11">
        <f t="shared" si="13"/>
        <v>0.46731525576483213</v>
      </c>
    </row>
    <row r="12" spans="1:21" x14ac:dyDescent="0.3">
      <c r="A12" s="6">
        <v>46002</v>
      </c>
      <c r="B12" s="8">
        <f t="shared" si="0"/>
        <v>345</v>
      </c>
      <c r="C12" s="8">
        <f t="shared" si="1"/>
        <v>14</v>
      </c>
      <c r="D12" s="7">
        <f t="shared" si="2"/>
        <v>0.49951905283832909</v>
      </c>
      <c r="F12">
        <f t="shared" si="3"/>
        <v>-0.49951905283832909</v>
      </c>
      <c r="G12">
        <f t="shared" si="4"/>
        <v>-0.39961524227066331</v>
      </c>
      <c r="H12">
        <f t="shared" si="5"/>
        <v>-0.29971143170299747</v>
      </c>
      <c r="I12">
        <f t="shared" si="6"/>
        <v>-0.19980762113533165</v>
      </c>
      <c r="J12">
        <f t="shared" si="7"/>
        <v>-9.9903810567665827E-2</v>
      </c>
      <c r="K12">
        <f t="shared" si="8"/>
        <v>0</v>
      </c>
      <c r="L12">
        <f t="shared" si="9"/>
        <v>9.9903810567665827E-2</v>
      </c>
      <c r="M12">
        <f t="shared" si="10"/>
        <v>0.19980762113533165</v>
      </c>
      <c r="N12">
        <f t="shared" si="11"/>
        <v>0.29971143170299747</v>
      </c>
      <c r="O12">
        <f t="shared" si="12"/>
        <v>0.39961524227066331</v>
      </c>
      <c r="P12">
        <f t="shared" si="13"/>
        <v>0.49951905283832909</v>
      </c>
      <c r="T12" s="1"/>
    </row>
    <row r="13" spans="1:21" x14ac:dyDescent="0.3">
      <c r="A13" s="6">
        <v>46003</v>
      </c>
      <c r="B13" s="8">
        <f t="shared" si="0"/>
        <v>346</v>
      </c>
      <c r="C13" s="8">
        <f t="shared" si="1"/>
        <v>13</v>
      </c>
      <c r="D13" s="7">
        <f t="shared" si="2"/>
        <v>0.53226415338928679</v>
      </c>
      <c r="F13">
        <f t="shared" si="3"/>
        <v>-0.53226415338928679</v>
      </c>
      <c r="G13">
        <f t="shared" si="4"/>
        <v>-0.42581132271142946</v>
      </c>
      <c r="H13">
        <f t="shared" si="5"/>
        <v>-0.31935849203357208</v>
      </c>
      <c r="I13">
        <f t="shared" si="6"/>
        <v>-0.21290566135571473</v>
      </c>
      <c r="J13">
        <f t="shared" si="7"/>
        <v>-0.10645283067785737</v>
      </c>
      <c r="K13">
        <f t="shared" si="8"/>
        <v>0</v>
      </c>
      <c r="L13">
        <f t="shared" si="9"/>
        <v>0.10645283067785737</v>
      </c>
      <c r="M13">
        <f t="shared" si="10"/>
        <v>0.21290566135571473</v>
      </c>
      <c r="N13">
        <f t="shared" si="11"/>
        <v>0.31935849203357208</v>
      </c>
      <c r="O13">
        <f t="shared" si="12"/>
        <v>0.42581132271142946</v>
      </c>
      <c r="P13">
        <f t="shared" si="13"/>
        <v>0.53226415338928679</v>
      </c>
    </row>
    <row r="14" spans="1:21" x14ac:dyDescent="0.3">
      <c r="A14" s="6">
        <v>46004</v>
      </c>
      <c r="B14" s="8">
        <f t="shared" si="0"/>
        <v>347</v>
      </c>
      <c r="C14" s="8">
        <f t="shared" si="1"/>
        <v>12</v>
      </c>
      <c r="D14" s="7">
        <f t="shared" si="2"/>
        <v>0.56554175279993268</v>
      </c>
      <c r="F14">
        <f t="shared" si="3"/>
        <v>-0.56554175279993268</v>
      </c>
      <c r="G14">
        <f t="shared" si="4"/>
        <v>-0.45243340223994616</v>
      </c>
      <c r="H14">
        <f t="shared" si="5"/>
        <v>-0.33932505167995958</v>
      </c>
      <c r="I14">
        <f t="shared" si="6"/>
        <v>-0.22621670111997308</v>
      </c>
      <c r="J14">
        <f t="shared" si="7"/>
        <v>-0.11310835055998654</v>
      </c>
      <c r="K14">
        <f t="shared" si="8"/>
        <v>0</v>
      </c>
      <c r="L14">
        <f t="shared" si="9"/>
        <v>0.11310835055998654</v>
      </c>
      <c r="M14">
        <f t="shared" si="10"/>
        <v>0.22621670111997308</v>
      </c>
      <c r="N14">
        <f t="shared" si="11"/>
        <v>0.33932505167995958</v>
      </c>
      <c r="O14">
        <f t="shared" si="12"/>
        <v>0.45243340223994616</v>
      </c>
      <c r="P14">
        <f t="shared" si="13"/>
        <v>0.56554175279993268</v>
      </c>
    </row>
    <row r="15" spans="1:21" x14ac:dyDescent="0.3">
      <c r="A15" s="6">
        <v>46005</v>
      </c>
      <c r="B15" s="8">
        <f t="shared" si="0"/>
        <v>348</v>
      </c>
      <c r="C15" s="8">
        <f t="shared" si="1"/>
        <v>11</v>
      </c>
      <c r="D15" s="7">
        <f t="shared" si="2"/>
        <v>0.5993434626391293</v>
      </c>
      <c r="F15">
        <f t="shared" si="3"/>
        <v>-0.5993434626391293</v>
      </c>
      <c r="G15">
        <f t="shared" si="4"/>
        <v>-0.47947477011130346</v>
      </c>
      <c r="H15">
        <f t="shared" si="5"/>
        <v>-0.35960607758347757</v>
      </c>
      <c r="I15">
        <f t="shared" si="6"/>
        <v>-0.23973738505565173</v>
      </c>
      <c r="J15">
        <f t="shared" si="7"/>
        <v>-0.11986869252782587</v>
      </c>
      <c r="K15">
        <f t="shared" si="8"/>
        <v>0</v>
      </c>
      <c r="L15">
        <f t="shared" si="9"/>
        <v>0.11986869252782587</v>
      </c>
      <c r="M15">
        <f t="shared" si="10"/>
        <v>0.23973738505565173</v>
      </c>
      <c r="N15">
        <f t="shared" si="11"/>
        <v>0.35960607758347757</v>
      </c>
      <c r="O15">
        <f t="shared" si="12"/>
        <v>0.47947477011130346</v>
      </c>
      <c r="P15">
        <f t="shared" si="13"/>
        <v>0.5993434626391293</v>
      </c>
    </row>
    <row r="16" spans="1:21" x14ac:dyDescent="0.3">
      <c r="A16" s="6">
        <v>46006</v>
      </c>
      <c r="B16" s="8">
        <f t="shared" si="0"/>
        <v>349</v>
      </c>
      <c r="C16" s="8">
        <f t="shared" si="1"/>
        <v>10</v>
      </c>
      <c r="D16" s="7">
        <f t="shared" si="2"/>
        <v>0.63366127886989554</v>
      </c>
      <c r="F16">
        <f t="shared" si="3"/>
        <v>-0.63366127886989554</v>
      </c>
      <c r="G16">
        <f t="shared" si="4"/>
        <v>-0.50692902309591648</v>
      </c>
      <c r="H16">
        <f t="shared" si="5"/>
        <v>-0.3801967673219373</v>
      </c>
      <c r="I16">
        <f t="shared" si="6"/>
        <v>-0.25346451154795824</v>
      </c>
      <c r="J16">
        <f t="shared" si="7"/>
        <v>-0.12673225577397912</v>
      </c>
      <c r="K16">
        <f t="shared" si="8"/>
        <v>0</v>
      </c>
      <c r="L16">
        <f t="shared" si="9"/>
        <v>0.12673225577397912</v>
      </c>
      <c r="M16">
        <f t="shared" si="10"/>
        <v>0.25346451154795824</v>
      </c>
      <c r="N16">
        <f t="shared" si="11"/>
        <v>0.3801967673219373</v>
      </c>
      <c r="O16">
        <f t="shared" si="12"/>
        <v>0.50692902309591648</v>
      </c>
      <c r="P16">
        <f t="shared" si="13"/>
        <v>0.63366127886989554</v>
      </c>
    </row>
    <row r="17" spans="1:16" x14ac:dyDescent="0.3">
      <c r="A17" s="6">
        <v>46007</v>
      </c>
      <c r="B17" s="8">
        <f t="shared" si="0"/>
        <v>350</v>
      </c>
      <c r="C17" s="8">
        <f t="shared" si="1"/>
        <v>9</v>
      </c>
      <c r="D17" s="7">
        <f t="shared" si="2"/>
        <v>0.66848755335679988</v>
      </c>
      <c r="F17">
        <f t="shared" si="3"/>
        <v>-0.66848755335679988</v>
      </c>
      <c r="G17">
        <f t="shared" si="4"/>
        <v>-0.53479004268543995</v>
      </c>
      <c r="H17">
        <f t="shared" si="5"/>
        <v>-0.40109253201407991</v>
      </c>
      <c r="I17">
        <f t="shared" si="6"/>
        <v>-0.26739502134271997</v>
      </c>
      <c r="J17">
        <f t="shared" si="7"/>
        <v>-0.13369751067135999</v>
      </c>
      <c r="K17">
        <f t="shared" si="8"/>
        <v>0</v>
      </c>
      <c r="L17">
        <f t="shared" si="9"/>
        <v>0.13369751067135999</v>
      </c>
      <c r="M17">
        <f t="shared" si="10"/>
        <v>0.26739502134271997</v>
      </c>
      <c r="N17">
        <f t="shared" si="11"/>
        <v>0.40109253201407991</v>
      </c>
      <c r="O17">
        <f t="shared" si="12"/>
        <v>0.53479004268543995</v>
      </c>
      <c r="P17">
        <f t="shared" si="13"/>
        <v>0.66848755335679988</v>
      </c>
    </row>
    <row r="18" spans="1:16" x14ac:dyDescent="0.3">
      <c r="A18" s="6">
        <v>46008</v>
      </c>
      <c r="B18" s="8">
        <f t="shared" si="0"/>
        <v>351</v>
      </c>
      <c r="C18" s="8">
        <f t="shared" si="1"/>
        <v>8</v>
      </c>
      <c r="D18" s="7">
        <f t="shared" si="2"/>
        <v>0.70381496824546264</v>
      </c>
      <c r="F18">
        <f t="shared" si="3"/>
        <v>-0.70381496824546264</v>
      </c>
      <c r="G18">
        <f t="shared" si="4"/>
        <v>-0.56305197459637013</v>
      </c>
      <c r="H18">
        <f t="shared" si="5"/>
        <v>-0.42228898094727757</v>
      </c>
      <c r="I18">
        <f t="shared" si="6"/>
        <v>-0.28152598729818507</v>
      </c>
      <c r="J18">
        <f t="shared" si="7"/>
        <v>-0.14076299364909253</v>
      </c>
      <c r="K18">
        <f t="shared" si="8"/>
        <v>0</v>
      </c>
      <c r="L18">
        <f t="shared" si="9"/>
        <v>0.14076299364909253</v>
      </c>
      <c r="M18">
        <f t="shared" si="10"/>
        <v>0.28152598729818507</v>
      </c>
      <c r="N18">
        <f t="shared" si="11"/>
        <v>0.42228898094727757</v>
      </c>
      <c r="O18">
        <f t="shared" si="12"/>
        <v>0.56305197459637013</v>
      </c>
      <c r="P18">
        <f t="shared" si="13"/>
        <v>0.70381496824546264</v>
      </c>
    </row>
    <row r="19" spans="1:16" x14ac:dyDescent="0.3">
      <c r="A19" s="6">
        <v>46009</v>
      </c>
      <c r="B19" s="8">
        <f t="shared" si="0"/>
        <v>352</v>
      </c>
      <c r="C19" s="8">
        <f t="shared" si="1"/>
        <v>7</v>
      </c>
      <c r="D19" s="7">
        <f t="shared" si="2"/>
        <v>0.7396365128522997</v>
      </c>
      <c r="F19">
        <f t="shared" si="3"/>
        <v>-0.7396365128522997</v>
      </c>
      <c r="G19">
        <f t="shared" si="4"/>
        <v>-0.59170921028183976</v>
      </c>
      <c r="H19">
        <f t="shared" si="5"/>
        <v>-0.44378190771137982</v>
      </c>
      <c r="I19">
        <f t="shared" si="6"/>
        <v>-0.29585460514091988</v>
      </c>
      <c r="J19">
        <f t="shared" si="7"/>
        <v>-0.14792730257045994</v>
      </c>
      <c r="K19">
        <f t="shared" si="8"/>
        <v>0</v>
      </c>
      <c r="L19">
        <f t="shared" si="9"/>
        <v>0.14792730257045994</v>
      </c>
      <c r="M19">
        <f t="shared" si="10"/>
        <v>0.29585460514091988</v>
      </c>
      <c r="N19">
        <f t="shared" si="11"/>
        <v>0.44378190771137982</v>
      </c>
      <c r="O19">
        <f t="shared" si="12"/>
        <v>0.59170921028183976</v>
      </c>
      <c r="P19">
        <f t="shared" si="13"/>
        <v>0.7396365128522997</v>
      </c>
    </row>
    <row r="20" spans="1:16" x14ac:dyDescent="0.3">
      <c r="A20" s="6">
        <v>46010</v>
      </c>
      <c r="B20" s="8">
        <f t="shared" si="0"/>
        <v>353</v>
      </c>
      <c r="C20" s="8">
        <f t="shared" si="1"/>
        <v>6</v>
      </c>
      <c r="D20" s="7">
        <f t="shared" si="2"/>
        <v>0.77594546275685161</v>
      </c>
      <c r="F20">
        <f t="shared" si="3"/>
        <v>-0.77594546275685161</v>
      </c>
      <c r="G20">
        <f t="shared" si="4"/>
        <v>-0.62075637020548136</v>
      </c>
      <c r="H20">
        <f t="shared" si="5"/>
        <v>-0.46556727765411093</v>
      </c>
      <c r="I20">
        <f t="shared" si="6"/>
        <v>-0.31037818510274068</v>
      </c>
      <c r="J20">
        <f t="shared" si="7"/>
        <v>-0.15518909255137034</v>
      </c>
      <c r="K20">
        <f t="shared" si="8"/>
        <v>0</v>
      </c>
      <c r="L20">
        <f t="shared" si="9"/>
        <v>0.15518909255137034</v>
      </c>
      <c r="M20">
        <f t="shared" si="10"/>
        <v>0.31037818510274068</v>
      </c>
      <c r="N20">
        <f t="shared" si="11"/>
        <v>0.46556727765411093</v>
      </c>
      <c r="O20">
        <f t="shared" si="12"/>
        <v>0.62075637020548136</v>
      </c>
      <c r="P20">
        <f t="shared" si="13"/>
        <v>0.77594546275685161</v>
      </c>
    </row>
    <row r="21" spans="1:16" x14ac:dyDescent="0.3">
      <c r="A21" s="6">
        <v>46011</v>
      </c>
      <c r="B21" s="8">
        <f xml:space="preserve"> A21 - DATE(YEAR(A21), 1, 1) + 1</f>
        <v>354</v>
      </c>
      <c r="C21" s="8">
        <f t="shared" si="1"/>
        <v>5</v>
      </c>
      <c r="D21" s="7">
        <f t="shared" si="2"/>
        <v>0.81273536083391074</v>
      </c>
      <c r="F21">
        <f t="shared" si="3"/>
        <v>-0.81273536083391074</v>
      </c>
      <c r="G21">
        <f t="shared" si="4"/>
        <v>-0.65018828866712863</v>
      </c>
      <c r="H21">
        <f t="shared" si="5"/>
        <v>-0.48764121650034642</v>
      </c>
      <c r="I21">
        <f t="shared" si="6"/>
        <v>-0.32509414433356432</v>
      </c>
      <c r="J21">
        <f t="shared" si="7"/>
        <v>-0.16254707216678216</v>
      </c>
      <c r="K21">
        <f t="shared" si="8"/>
        <v>0</v>
      </c>
      <c r="L21">
        <f t="shared" si="9"/>
        <v>0.16254707216678216</v>
      </c>
      <c r="M21">
        <f t="shared" si="10"/>
        <v>0.32509414433356432</v>
      </c>
      <c r="N21">
        <f t="shared" si="11"/>
        <v>0.48764121650034642</v>
      </c>
      <c r="O21">
        <f t="shared" si="12"/>
        <v>0.65018828866712863</v>
      </c>
      <c r="P21">
        <f t="shared" si="13"/>
        <v>0.81273536083391074</v>
      </c>
    </row>
    <row r="22" spans="1:16" x14ac:dyDescent="0.3">
      <c r="A22" s="6">
        <v>46012</v>
      </c>
      <c r="B22" s="8">
        <f t="shared" si="0"/>
        <v>355</v>
      </c>
      <c r="C22" s="8">
        <f t="shared" si="1"/>
        <v>4</v>
      </c>
      <c r="D22" s="7">
        <f t="shared" si="2"/>
        <v>0.85</v>
      </c>
      <c r="F22">
        <f t="shared" si="3"/>
        <v>-0.85</v>
      </c>
      <c r="G22">
        <f t="shared" si="4"/>
        <v>-0.68</v>
      </c>
      <c r="H22">
        <f t="shared" si="5"/>
        <v>-0.51</v>
      </c>
      <c r="I22">
        <f t="shared" si="6"/>
        <v>-0.34</v>
      </c>
      <c r="J22">
        <f t="shared" si="7"/>
        <v>-0.17</v>
      </c>
      <c r="K22">
        <f t="shared" si="8"/>
        <v>0</v>
      </c>
      <c r="L22">
        <f t="shared" si="9"/>
        <v>0.17</v>
      </c>
      <c r="M22">
        <f t="shared" si="10"/>
        <v>0.34</v>
      </c>
      <c r="N22">
        <f t="shared" si="11"/>
        <v>0.51</v>
      </c>
      <c r="O22">
        <f t="shared" si="12"/>
        <v>0.68</v>
      </c>
      <c r="P22">
        <f t="shared" si="13"/>
        <v>0.85</v>
      </c>
    </row>
    <row r="23" spans="1:16" x14ac:dyDescent="0.3">
      <c r="A23" s="6">
        <v>46013</v>
      </c>
      <c r="B23" s="8">
        <f t="shared" si="0"/>
        <v>356</v>
      </c>
      <c r="C23" s="8">
        <f t="shared" si="1"/>
        <v>3</v>
      </c>
      <c r="D23" s="7">
        <f t="shared" si="2"/>
        <v>0.88773340747997531</v>
      </c>
      <c r="F23">
        <f t="shared" si="3"/>
        <v>-0.88773340747997531</v>
      </c>
      <c r="G23">
        <f t="shared" si="4"/>
        <v>-0.71018672598398025</v>
      </c>
      <c r="H23">
        <f t="shared" si="5"/>
        <v>-0.53264004448798519</v>
      </c>
      <c r="I23">
        <f t="shared" si="6"/>
        <v>-0.35509336299199012</v>
      </c>
      <c r="J23">
        <f t="shared" si="7"/>
        <v>-0.17754668149599506</v>
      </c>
      <c r="K23">
        <f t="shared" si="8"/>
        <v>0</v>
      </c>
      <c r="L23">
        <f t="shared" si="9"/>
        <v>0.17754668149599506</v>
      </c>
      <c r="M23">
        <f t="shared" si="10"/>
        <v>0.35509336299199012</v>
      </c>
      <c r="N23">
        <f t="shared" si="11"/>
        <v>0.53264004448798519</v>
      </c>
      <c r="O23">
        <f t="shared" si="12"/>
        <v>0.71018672598398025</v>
      </c>
      <c r="P23">
        <f t="shared" si="13"/>
        <v>0.88773340747997531</v>
      </c>
    </row>
    <row r="24" spans="1:16" x14ac:dyDescent="0.3">
      <c r="A24" s="6">
        <v>46014</v>
      </c>
      <c r="B24" s="8">
        <f t="shared" si="0"/>
        <v>357</v>
      </c>
      <c r="C24" s="8">
        <f t="shared" si="1"/>
        <v>2</v>
      </c>
      <c r="D24" s="7">
        <f t="shared" si="2"/>
        <v>0.92592983042575783</v>
      </c>
      <c r="F24">
        <f t="shared" si="3"/>
        <v>-0.92592983042575783</v>
      </c>
      <c r="G24">
        <f t="shared" si="4"/>
        <v>-0.74074386434060635</v>
      </c>
      <c r="H24">
        <f t="shared" si="5"/>
        <v>-0.55555789825545465</v>
      </c>
      <c r="I24">
        <f t="shared" si="6"/>
        <v>-0.37037193217030318</v>
      </c>
      <c r="J24">
        <f t="shared" si="7"/>
        <v>-0.18518596608515159</v>
      </c>
      <c r="K24">
        <f t="shared" si="8"/>
        <v>0</v>
      </c>
      <c r="L24">
        <f t="shared" si="9"/>
        <v>0.18518596608515159</v>
      </c>
      <c r="M24">
        <f t="shared" si="10"/>
        <v>0.37037193217030318</v>
      </c>
      <c r="N24">
        <f t="shared" si="11"/>
        <v>0.55555789825545465</v>
      </c>
      <c r="O24">
        <f t="shared" si="12"/>
        <v>0.74074386434060635</v>
      </c>
      <c r="P24">
        <f t="shared" si="13"/>
        <v>0.92592983042575783</v>
      </c>
    </row>
    <row r="25" spans="1:16" x14ac:dyDescent="0.3">
      <c r="A25" s="6">
        <v>46015</v>
      </c>
      <c r="B25" s="8">
        <f t="shared" si="0"/>
        <v>358</v>
      </c>
      <c r="C25" s="8">
        <f t="shared" si="1"/>
        <v>1</v>
      </c>
      <c r="D25" s="7">
        <f t="shared" si="2"/>
        <v>0.96458372274136528</v>
      </c>
      <c r="F25">
        <f t="shared" si="3"/>
        <v>-0.96458372274136528</v>
      </c>
      <c r="G25">
        <f t="shared" si="4"/>
        <v>-0.77166697819309227</v>
      </c>
      <c r="H25">
        <f t="shared" si="5"/>
        <v>-0.57875023364481915</v>
      </c>
      <c r="I25">
        <f t="shared" si="6"/>
        <v>-0.38583348909654613</v>
      </c>
      <c r="J25">
        <f t="shared" si="7"/>
        <v>-0.19291674454827307</v>
      </c>
      <c r="K25">
        <f t="shared" si="8"/>
        <v>0</v>
      </c>
      <c r="L25">
        <f t="shared" si="9"/>
        <v>0.19291674454827307</v>
      </c>
      <c r="M25">
        <f t="shared" si="10"/>
        <v>0.38583348909654613</v>
      </c>
      <c r="N25">
        <f t="shared" si="11"/>
        <v>0.57875023364481915</v>
      </c>
      <c r="O25">
        <f t="shared" si="12"/>
        <v>0.77166697819309227</v>
      </c>
      <c r="P25">
        <f t="shared" si="13"/>
        <v>0.96458372274136528</v>
      </c>
    </row>
    <row r="26" spans="1:16" x14ac:dyDescent="0.3">
      <c r="A26" s="6">
        <v>46016</v>
      </c>
      <c r="B26" s="8">
        <f t="shared" si="0"/>
        <v>359</v>
      </c>
      <c r="C26" s="8">
        <f t="shared" si="1"/>
        <v>0</v>
      </c>
      <c r="D26" s="7">
        <f t="shared" si="2"/>
        <v>1.003689732987167</v>
      </c>
      <c r="F26">
        <f t="shared" si="3"/>
        <v>-1.003689732987167</v>
      </c>
      <c r="G26">
        <f t="shared" si="4"/>
        <v>-0.80295178638973363</v>
      </c>
      <c r="H26">
        <f t="shared" si="5"/>
        <v>-0.60221383979230014</v>
      </c>
      <c r="I26">
        <f t="shared" si="6"/>
        <v>-0.40147589319486682</v>
      </c>
      <c r="J26">
        <f t="shared" si="7"/>
        <v>-0.20073794659743341</v>
      </c>
      <c r="K26">
        <f t="shared" si="8"/>
        <v>0</v>
      </c>
      <c r="L26">
        <f t="shared" si="9"/>
        <v>0.20073794659743341</v>
      </c>
      <c r="M26">
        <f t="shared" si="10"/>
        <v>0.40147589319486682</v>
      </c>
      <c r="N26">
        <f t="shared" si="11"/>
        <v>0.60221383979230014</v>
      </c>
      <c r="O26">
        <f t="shared" si="12"/>
        <v>0.80295178638973363</v>
      </c>
      <c r="P26">
        <f t="shared" si="13"/>
        <v>1.003689732987167</v>
      </c>
    </row>
    <row r="27" spans="1:16" x14ac:dyDescent="0.3">
      <c r="A27" s="6">
        <v>46017</v>
      </c>
      <c r="B27" s="8">
        <f t="shared" si="0"/>
        <v>360</v>
      </c>
      <c r="C27" s="8">
        <f t="shared" si="1"/>
        <v>1</v>
      </c>
      <c r="D27" s="7">
        <f t="shared" si="2"/>
        <v>0.96458372274136528</v>
      </c>
      <c r="F27">
        <f t="shared" si="3"/>
        <v>-0.96458372274136528</v>
      </c>
      <c r="G27">
        <f t="shared" si="4"/>
        <v>-0.77166697819309227</v>
      </c>
      <c r="H27">
        <f t="shared" si="5"/>
        <v>-0.57875023364481915</v>
      </c>
      <c r="I27">
        <f t="shared" si="6"/>
        <v>-0.38583348909654613</v>
      </c>
      <c r="J27">
        <f t="shared" si="7"/>
        <v>-0.19291674454827307</v>
      </c>
      <c r="K27">
        <f t="shared" si="8"/>
        <v>0</v>
      </c>
      <c r="L27">
        <f t="shared" si="9"/>
        <v>0.19291674454827307</v>
      </c>
      <c r="M27">
        <f t="shared" si="10"/>
        <v>0.38583348909654613</v>
      </c>
      <c r="N27">
        <f t="shared" si="11"/>
        <v>0.57875023364481915</v>
      </c>
      <c r="O27">
        <f t="shared" si="12"/>
        <v>0.77166697819309227</v>
      </c>
      <c r="P27">
        <f t="shared" si="13"/>
        <v>0.96458372274136528</v>
      </c>
    </row>
    <row r="28" spans="1:16" x14ac:dyDescent="0.3">
      <c r="A28" s="6">
        <v>46018</v>
      </c>
      <c r="B28" s="8">
        <f t="shared" si="0"/>
        <v>361</v>
      </c>
      <c r="C28" s="8">
        <f t="shared" si="1"/>
        <v>2</v>
      </c>
      <c r="D28" s="7">
        <f t="shared" si="2"/>
        <v>0.92592983042575783</v>
      </c>
      <c r="F28">
        <f t="shared" si="3"/>
        <v>-0.92592983042575783</v>
      </c>
      <c r="G28">
        <f t="shared" si="4"/>
        <v>-0.74074386434060635</v>
      </c>
      <c r="H28">
        <f t="shared" si="5"/>
        <v>-0.55555789825545465</v>
      </c>
      <c r="I28">
        <f t="shared" si="6"/>
        <v>-0.37037193217030318</v>
      </c>
      <c r="J28">
        <f t="shared" si="7"/>
        <v>-0.18518596608515159</v>
      </c>
      <c r="K28">
        <f t="shared" si="8"/>
        <v>0</v>
      </c>
      <c r="L28">
        <f t="shared" si="9"/>
        <v>0.18518596608515159</v>
      </c>
      <c r="M28">
        <f t="shared" si="10"/>
        <v>0.37037193217030318</v>
      </c>
      <c r="N28">
        <f t="shared" si="11"/>
        <v>0.55555789825545465</v>
      </c>
      <c r="O28">
        <f t="shared" si="12"/>
        <v>0.74074386434060635</v>
      </c>
      <c r="P28">
        <f t="shared" si="13"/>
        <v>0.92592983042575783</v>
      </c>
    </row>
    <row r="29" spans="1:16" x14ac:dyDescent="0.3">
      <c r="A29" s="6">
        <v>46019</v>
      </c>
      <c r="B29" s="8">
        <f t="shared" si="0"/>
        <v>362</v>
      </c>
      <c r="C29" s="8">
        <f t="shared" si="1"/>
        <v>3</v>
      </c>
      <c r="D29" s="7">
        <f t="shared" si="2"/>
        <v>0.88773340747997531</v>
      </c>
      <c r="F29">
        <f t="shared" si="3"/>
        <v>-0.88773340747997531</v>
      </c>
      <c r="G29">
        <f t="shared" si="4"/>
        <v>-0.71018672598398025</v>
      </c>
      <c r="H29">
        <f t="shared" si="5"/>
        <v>-0.53264004448798519</v>
      </c>
      <c r="I29">
        <f t="shared" si="6"/>
        <v>-0.35509336299199012</v>
      </c>
      <c r="J29">
        <f t="shared" si="7"/>
        <v>-0.17754668149599506</v>
      </c>
      <c r="K29">
        <f t="shared" si="8"/>
        <v>0</v>
      </c>
      <c r="L29">
        <f t="shared" si="9"/>
        <v>0.17754668149599506</v>
      </c>
      <c r="M29">
        <f t="shared" si="10"/>
        <v>0.35509336299199012</v>
      </c>
      <c r="N29">
        <f t="shared" si="11"/>
        <v>0.53264004448798519</v>
      </c>
      <c r="O29">
        <f t="shared" si="12"/>
        <v>0.71018672598398025</v>
      </c>
      <c r="P29">
        <f t="shared" si="13"/>
        <v>0.88773340747997531</v>
      </c>
    </row>
    <row r="30" spans="1:16" x14ac:dyDescent="0.3">
      <c r="A30" s="6">
        <v>46020</v>
      </c>
      <c r="B30" s="8">
        <f xml:space="preserve"> A30 - DATE(YEAR(A30), 1, 1) + 1</f>
        <v>363</v>
      </c>
      <c r="C30" s="8">
        <f t="shared" si="1"/>
        <v>4</v>
      </c>
      <c r="D30" s="7">
        <f t="shared" si="2"/>
        <v>0.85</v>
      </c>
      <c r="F30">
        <f t="shared" si="3"/>
        <v>-0.85</v>
      </c>
      <c r="G30">
        <f t="shared" si="4"/>
        <v>-0.68</v>
      </c>
      <c r="H30">
        <f t="shared" si="5"/>
        <v>-0.51</v>
      </c>
      <c r="I30">
        <f t="shared" si="6"/>
        <v>-0.34</v>
      </c>
      <c r="J30">
        <f t="shared" si="7"/>
        <v>-0.17</v>
      </c>
      <c r="K30">
        <f t="shared" si="8"/>
        <v>0</v>
      </c>
      <c r="L30">
        <f t="shared" si="9"/>
        <v>0.17</v>
      </c>
      <c r="M30">
        <f t="shared" si="10"/>
        <v>0.34</v>
      </c>
      <c r="N30">
        <f t="shared" si="11"/>
        <v>0.51</v>
      </c>
      <c r="O30">
        <f t="shared" si="12"/>
        <v>0.68</v>
      </c>
      <c r="P30">
        <f t="shared" si="13"/>
        <v>0.85</v>
      </c>
    </row>
    <row r="31" spans="1:16" x14ac:dyDescent="0.3">
      <c r="A31" s="6">
        <v>46021</v>
      </c>
      <c r="B31" s="8">
        <f t="shared" si="0"/>
        <v>364</v>
      </c>
      <c r="C31" s="8">
        <f t="shared" si="1"/>
        <v>5</v>
      </c>
      <c r="D31" s="7">
        <f t="shared" si="2"/>
        <v>0.81273536083391074</v>
      </c>
      <c r="F31">
        <f t="shared" si="3"/>
        <v>-0.81273536083391074</v>
      </c>
      <c r="G31">
        <f t="shared" si="4"/>
        <v>-0.65018828866712863</v>
      </c>
      <c r="H31">
        <f t="shared" si="5"/>
        <v>-0.48764121650034642</v>
      </c>
      <c r="I31">
        <f t="shared" si="6"/>
        <v>-0.32509414433356432</v>
      </c>
      <c r="J31">
        <f t="shared" si="7"/>
        <v>-0.16254707216678216</v>
      </c>
      <c r="K31">
        <f t="shared" si="8"/>
        <v>0</v>
      </c>
      <c r="L31">
        <f t="shared" si="9"/>
        <v>0.16254707216678216</v>
      </c>
      <c r="M31">
        <f t="shared" si="10"/>
        <v>0.32509414433356432</v>
      </c>
      <c r="N31">
        <f t="shared" si="11"/>
        <v>0.48764121650034642</v>
      </c>
      <c r="O31">
        <f t="shared" si="12"/>
        <v>0.65018828866712863</v>
      </c>
      <c r="P31">
        <f t="shared" si="13"/>
        <v>0.81273536083391074</v>
      </c>
    </row>
    <row r="32" spans="1:16" s="3" customFormat="1" x14ac:dyDescent="0.3">
      <c r="A32" s="9">
        <v>46022</v>
      </c>
      <c r="B32" s="10">
        <f t="shared" si="0"/>
        <v>365</v>
      </c>
      <c r="C32" s="8">
        <f t="shared" si="1"/>
        <v>6</v>
      </c>
      <c r="D32" s="7">
        <f t="shared" si="2"/>
        <v>0.77594546275685161</v>
      </c>
      <c r="E32" s="11"/>
      <c r="F32">
        <f t="shared" si="3"/>
        <v>-0.77594546275685161</v>
      </c>
      <c r="G32">
        <f t="shared" si="4"/>
        <v>-0.62075637020548136</v>
      </c>
      <c r="H32">
        <f t="shared" si="5"/>
        <v>-0.46556727765411093</v>
      </c>
      <c r="I32">
        <f t="shared" si="6"/>
        <v>-0.31037818510274068</v>
      </c>
      <c r="J32">
        <f t="shared" si="7"/>
        <v>-0.15518909255137034</v>
      </c>
      <c r="K32">
        <f t="shared" si="8"/>
        <v>0</v>
      </c>
      <c r="L32">
        <f t="shared" si="9"/>
        <v>0.15518909255137034</v>
      </c>
      <c r="M32">
        <f t="shared" si="10"/>
        <v>0.31037818510274068</v>
      </c>
      <c r="N32">
        <f t="shared" si="11"/>
        <v>0.46556727765411093</v>
      </c>
      <c r="O32">
        <f t="shared" si="12"/>
        <v>0.62075637020548136</v>
      </c>
      <c r="P32">
        <f t="shared" si="13"/>
        <v>0.77594546275685161</v>
      </c>
    </row>
    <row r="33" spans="1:16" x14ac:dyDescent="0.3">
      <c r="A33" s="6">
        <v>46023</v>
      </c>
      <c r="B33" s="8">
        <f t="shared" si="0"/>
        <v>1</v>
      </c>
      <c r="C33" s="8">
        <f t="shared" si="1"/>
        <v>7</v>
      </c>
      <c r="D33" s="7">
        <f t="shared" si="2"/>
        <v>0.7396365128522997</v>
      </c>
      <c r="F33">
        <f t="shared" si="3"/>
        <v>-0.7396365128522997</v>
      </c>
      <c r="G33">
        <f t="shared" si="4"/>
        <v>-0.59170921028183976</v>
      </c>
      <c r="H33">
        <f t="shared" si="5"/>
        <v>-0.44378190771137982</v>
      </c>
      <c r="I33">
        <f t="shared" si="6"/>
        <v>-0.29585460514091988</v>
      </c>
      <c r="J33">
        <f t="shared" si="7"/>
        <v>-0.14792730257045994</v>
      </c>
      <c r="K33">
        <f t="shared" si="8"/>
        <v>0</v>
      </c>
      <c r="L33">
        <f t="shared" si="9"/>
        <v>0.14792730257045994</v>
      </c>
      <c r="M33">
        <f t="shared" si="10"/>
        <v>0.29585460514091988</v>
      </c>
      <c r="N33">
        <f t="shared" si="11"/>
        <v>0.44378190771137982</v>
      </c>
      <c r="O33">
        <f t="shared" si="12"/>
        <v>0.59170921028183976</v>
      </c>
      <c r="P33">
        <f t="shared" si="13"/>
        <v>0.7396365128522997</v>
      </c>
    </row>
    <row r="34" spans="1:16" x14ac:dyDescent="0.3">
      <c r="A34" s="6">
        <v>46024</v>
      </c>
      <c r="B34" s="8">
        <f t="shared" si="0"/>
        <v>2</v>
      </c>
      <c r="C34" s="8">
        <f t="shared" si="1"/>
        <v>8</v>
      </c>
      <c r="D34" s="7">
        <f t="shared" si="2"/>
        <v>0.70381496824546264</v>
      </c>
      <c r="F34">
        <f t="shared" si="3"/>
        <v>-0.70381496824546264</v>
      </c>
      <c r="G34">
        <f t="shared" si="4"/>
        <v>-0.56305197459637013</v>
      </c>
      <c r="H34">
        <f t="shared" si="5"/>
        <v>-0.42228898094727757</v>
      </c>
      <c r="I34">
        <f t="shared" si="6"/>
        <v>-0.28152598729818507</v>
      </c>
      <c r="J34">
        <f t="shared" si="7"/>
        <v>-0.14076299364909253</v>
      </c>
      <c r="K34">
        <f t="shared" si="8"/>
        <v>0</v>
      </c>
      <c r="L34">
        <f t="shared" si="9"/>
        <v>0.14076299364909253</v>
      </c>
      <c r="M34">
        <f t="shared" si="10"/>
        <v>0.28152598729818507</v>
      </c>
      <c r="N34">
        <f t="shared" si="11"/>
        <v>0.42228898094727757</v>
      </c>
      <c r="O34">
        <f t="shared" si="12"/>
        <v>0.56305197459637013</v>
      </c>
      <c r="P34">
        <f t="shared" si="13"/>
        <v>0.70381496824546264</v>
      </c>
    </row>
    <row r="35" spans="1:16" x14ac:dyDescent="0.3">
      <c r="A35" s="6">
        <v>46025</v>
      </c>
      <c r="B35" s="8">
        <f t="shared" si="0"/>
        <v>3</v>
      </c>
      <c r="C35" s="8">
        <f t="shared" si="1"/>
        <v>9</v>
      </c>
      <c r="D35" s="7">
        <f t="shared" si="2"/>
        <v>0.66848755335679988</v>
      </c>
      <c r="F35">
        <f t="shared" si="3"/>
        <v>-0.66848755335679988</v>
      </c>
      <c r="G35">
        <f t="shared" si="4"/>
        <v>-0.53479004268543995</v>
      </c>
      <c r="H35">
        <f t="shared" si="5"/>
        <v>-0.40109253201407991</v>
      </c>
      <c r="I35">
        <f t="shared" si="6"/>
        <v>-0.26739502134271997</v>
      </c>
      <c r="J35">
        <f t="shared" si="7"/>
        <v>-0.13369751067135999</v>
      </c>
      <c r="K35">
        <f t="shared" si="8"/>
        <v>0</v>
      </c>
      <c r="L35">
        <f t="shared" si="9"/>
        <v>0.13369751067135999</v>
      </c>
      <c r="M35">
        <f t="shared" si="10"/>
        <v>0.26739502134271997</v>
      </c>
      <c r="N35">
        <f t="shared" si="11"/>
        <v>0.40109253201407991</v>
      </c>
      <c r="O35">
        <f t="shared" si="12"/>
        <v>0.53479004268543995</v>
      </c>
      <c r="P35">
        <f t="shared" si="13"/>
        <v>0.66848755335679988</v>
      </c>
    </row>
    <row r="36" spans="1:16" x14ac:dyDescent="0.3">
      <c r="A36" s="6">
        <v>46026</v>
      </c>
      <c r="B36" s="8">
        <f t="shared" si="0"/>
        <v>4</v>
      </c>
      <c r="C36" s="8">
        <f t="shared" si="1"/>
        <v>10</v>
      </c>
      <c r="D36" s="7">
        <f t="shared" si="2"/>
        <v>0.63366127886989554</v>
      </c>
      <c r="F36">
        <f t="shared" si="3"/>
        <v>-0.63366127886989554</v>
      </c>
      <c r="G36">
        <f t="shared" si="4"/>
        <v>-0.50692902309591648</v>
      </c>
      <c r="H36">
        <f t="shared" si="5"/>
        <v>-0.3801967673219373</v>
      </c>
      <c r="I36">
        <f t="shared" si="6"/>
        <v>-0.25346451154795824</v>
      </c>
      <c r="J36">
        <f t="shared" si="7"/>
        <v>-0.12673225577397912</v>
      </c>
      <c r="K36">
        <f t="shared" si="8"/>
        <v>0</v>
      </c>
      <c r="L36">
        <f t="shared" si="9"/>
        <v>0.12673225577397912</v>
      </c>
      <c r="M36">
        <f t="shared" si="10"/>
        <v>0.25346451154795824</v>
      </c>
      <c r="N36">
        <f t="shared" si="11"/>
        <v>0.3801967673219373</v>
      </c>
      <c r="O36">
        <f t="shared" si="12"/>
        <v>0.50692902309591648</v>
      </c>
      <c r="P36">
        <f t="shared" si="13"/>
        <v>0.63366127886989554</v>
      </c>
    </row>
    <row r="37" spans="1:16" x14ac:dyDescent="0.3">
      <c r="A37" s="6">
        <v>46027</v>
      </c>
      <c r="B37" s="8">
        <f t="shared" si="0"/>
        <v>5</v>
      </c>
      <c r="C37" s="8">
        <f t="shared" si="1"/>
        <v>11</v>
      </c>
      <c r="D37" s="7">
        <f t="shared" si="2"/>
        <v>0.5993434626391293</v>
      </c>
      <c r="F37">
        <f t="shared" si="3"/>
        <v>-0.5993434626391293</v>
      </c>
      <c r="G37">
        <f t="shared" si="4"/>
        <v>-0.47947477011130346</v>
      </c>
      <c r="H37">
        <f t="shared" si="5"/>
        <v>-0.35960607758347757</v>
      </c>
      <c r="I37">
        <f t="shared" si="6"/>
        <v>-0.23973738505565173</v>
      </c>
      <c r="J37">
        <f t="shared" si="7"/>
        <v>-0.11986869252782587</v>
      </c>
      <c r="K37">
        <f t="shared" si="8"/>
        <v>0</v>
      </c>
      <c r="L37">
        <f t="shared" si="9"/>
        <v>0.11986869252782587</v>
      </c>
      <c r="M37">
        <f t="shared" si="10"/>
        <v>0.23973738505565173</v>
      </c>
      <c r="N37">
        <f t="shared" si="11"/>
        <v>0.35960607758347757</v>
      </c>
      <c r="O37">
        <f t="shared" si="12"/>
        <v>0.47947477011130346</v>
      </c>
      <c r="P37">
        <f t="shared" si="13"/>
        <v>0.5993434626391293</v>
      </c>
    </row>
    <row r="38" spans="1:16" x14ac:dyDescent="0.3">
      <c r="A38" s="6">
        <v>46028</v>
      </c>
      <c r="B38" s="8">
        <f t="shared" si="0"/>
        <v>6</v>
      </c>
      <c r="C38" s="8">
        <f t="shared" si="1"/>
        <v>12</v>
      </c>
      <c r="D38" s="7">
        <f t="shared" si="2"/>
        <v>0.56554175279993268</v>
      </c>
      <c r="F38">
        <f t="shared" si="3"/>
        <v>-0.56554175279993268</v>
      </c>
      <c r="G38">
        <f t="shared" si="4"/>
        <v>-0.45243340223994616</v>
      </c>
      <c r="H38">
        <f t="shared" si="5"/>
        <v>-0.33932505167995958</v>
      </c>
      <c r="I38">
        <f t="shared" si="6"/>
        <v>-0.22621670111997308</v>
      </c>
      <c r="J38">
        <f t="shared" si="7"/>
        <v>-0.11310835055998654</v>
      </c>
      <c r="K38">
        <f t="shared" si="8"/>
        <v>0</v>
      </c>
      <c r="L38">
        <f t="shared" si="9"/>
        <v>0.11310835055998654</v>
      </c>
      <c r="M38">
        <f t="shared" si="10"/>
        <v>0.22621670111997308</v>
      </c>
      <c r="N38">
        <f t="shared" si="11"/>
        <v>0.33932505167995958</v>
      </c>
      <c r="O38">
        <f t="shared" si="12"/>
        <v>0.45243340223994616</v>
      </c>
      <c r="P38">
        <f t="shared" si="13"/>
        <v>0.56554175279993268</v>
      </c>
    </row>
    <row r="39" spans="1:16" x14ac:dyDescent="0.3">
      <c r="A39" s="6">
        <v>46029</v>
      </c>
      <c r="B39" s="8">
        <f t="shared" si="0"/>
        <v>7</v>
      </c>
      <c r="C39" s="8">
        <f t="shared" si="1"/>
        <v>13</v>
      </c>
      <c r="D39" s="7">
        <f t="shared" si="2"/>
        <v>0.53226415338928679</v>
      </c>
      <c r="F39">
        <f t="shared" si="3"/>
        <v>-0.53226415338928679</v>
      </c>
      <c r="G39">
        <f t="shared" si="4"/>
        <v>-0.42581132271142946</v>
      </c>
      <c r="H39">
        <f t="shared" si="5"/>
        <v>-0.31935849203357208</v>
      </c>
      <c r="I39">
        <f t="shared" si="6"/>
        <v>-0.21290566135571473</v>
      </c>
      <c r="J39">
        <f t="shared" si="7"/>
        <v>-0.10645283067785737</v>
      </c>
      <c r="K39">
        <f t="shared" si="8"/>
        <v>0</v>
      </c>
      <c r="L39">
        <f t="shared" si="9"/>
        <v>0.10645283067785737</v>
      </c>
      <c r="M39">
        <f t="shared" si="10"/>
        <v>0.21290566135571473</v>
      </c>
      <c r="N39">
        <f t="shared" si="11"/>
        <v>0.31935849203357208</v>
      </c>
      <c r="O39">
        <f t="shared" si="12"/>
        <v>0.42581132271142946</v>
      </c>
      <c r="P39">
        <f t="shared" si="13"/>
        <v>0.53226415338928679</v>
      </c>
    </row>
    <row r="40" spans="1:16" x14ac:dyDescent="0.3">
      <c r="A40" s="6">
        <v>46030</v>
      </c>
      <c r="B40" s="8">
        <f t="shared" si="0"/>
        <v>8</v>
      </c>
      <c r="C40" s="8">
        <f t="shared" si="1"/>
        <v>14</v>
      </c>
      <c r="D40" s="7">
        <f t="shared" si="2"/>
        <v>0.49951905283832909</v>
      </c>
      <c r="F40">
        <f t="shared" si="3"/>
        <v>-0.49951905283832909</v>
      </c>
      <c r="G40">
        <f t="shared" si="4"/>
        <v>-0.39961524227066331</v>
      </c>
      <c r="H40">
        <f t="shared" si="5"/>
        <v>-0.29971143170299747</v>
      </c>
      <c r="I40">
        <f t="shared" si="6"/>
        <v>-0.19980762113533165</v>
      </c>
      <c r="J40">
        <f t="shared" si="7"/>
        <v>-9.9903810567665827E-2</v>
      </c>
      <c r="K40">
        <f t="shared" si="8"/>
        <v>0</v>
      </c>
      <c r="L40">
        <f t="shared" si="9"/>
        <v>9.9903810567665827E-2</v>
      </c>
      <c r="M40">
        <f t="shared" si="10"/>
        <v>0.19980762113533165</v>
      </c>
      <c r="N40">
        <f t="shared" si="11"/>
        <v>0.29971143170299747</v>
      </c>
      <c r="O40">
        <f t="shared" si="12"/>
        <v>0.39961524227066331</v>
      </c>
      <c r="P40">
        <f t="shared" si="13"/>
        <v>0.49951905283832909</v>
      </c>
    </row>
    <row r="41" spans="1:16" x14ac:dyDescent="0.3">
      <c r="A41" s="6">
        <v>46031</v>
      </c>
      <c r="B41" s="8">
        <f t="shared" si="0"/>
        <v>9</v>
      </c>
      <c r="C41" s="8">
        <f t="shared" si="1"/>
        <v>15</v>
      </c>
      <c r="D41" s="7">
        <f t="shared" si="2"/>
        <v>0.46731525576483213</v>
      </c>
      <c r="F41">
        <f t="shared" si="3"/>
        <v>-0.46731525576483213</v>
      </c>
      <c r="G41">
        <f t="shared" si="4"/>
        <v>-0.37385220461186575</v>
      </c>
      <c r="H41">
        <f t="shared" si="5"/>
        <v>-0.28038915345889925</v>
      </c>
      <c r="I41">
        <f t="shared" si="6"/>
        <v>-0.18692610230593287</v>
      </c>
      <c r="J41">
        <f t="shared" si="7"/>
        <v>-9.3463051152966437E-2</v>
      </c>
      <c r="K41">
        <f t="shared" si="8"/>
        <v>0</v>
      </c>
      <c r="L41">
        <f t="shared" si="9"/>
        <v>9.3463051152966437E-2</v>
      </c>
      <c r="M41">
        <f t="shared" si="10"/>
        <v>0.18692610230593287</v>
      </c>
      <c r="N41">
        <f t="shared" si="11"/>
        <v>0.28038915345889925</v>
      </c>
      <c r="O41">
        <f t="shared" si="12"/>
        <v>0.37385220461186575</v>
      </c>
      <c r="P41">
        <f t="shared" si="13"/>
        <v>0.46731525576483213</v>
      </c>
    </row>
    <row r="42" spans="1:16" x14ac:dyDescent="0.3">
      <c r="A42" s="6">
        <v>46032</v>
      </c>
      <c r="B42" s="8">
        <f t="shared" si="0"/>
        <v>10</v>
      </c>
      <c r="C42" s="8">
        <f t="shared" si="1"/>
        <v>16</v>
      </c>
      <c r="D42" s="7">
        <f t="shared" si="2"/>
        <v>0.43566201857385289</v>
      </c>
      <c r="F42">
        <f t="shared" si="3"/>
        <v>-0.43566201857385289</v>
      </c>
      <c r="G42">
        <f t="shared" si="4"/>
        <v>-0.34852961485908235</v>
      </c>
      <c r="H42">
        <f t="shared" si="5"/>
        <v>-0.26139721114431175</v>
      </c>
      <c r="I42">
        <f t="shared" si="6"/>
        <v>-0.17426480742954117</v>
      </c>
      <c r="J42">
        <f t="shared" si="7"/>
        <v>-8.7132403714770587E-2</v>
      </c>
      <c r="K42">
        <f t="shared" si="8"/>
        <v>0</v>
      </c>
      <c r="L42">
        <f t="shared" si="9"/>
        <v>8.7132403714770587E-2</v>
      </c>
      <c r="M42">
        <f t="shared" si="10"/>
        <v>0.17426480742954117</v>
      </c>
      <c r="N42">
        <f t="shared" si="11"/>
        <v>0.26139721114431175</v>
      </c>
      <c r="O42">
        <f t="shared" si="12"/>
        <v>0.34852961485908235</v>
      </c>
      <c r="P42">
        <f t="shared" si="13"/>
        <v>0.43566201857385289</v>
      </c>
    </row>
    <row r="43" spans="1:16" x14ac:dyDescent="0.3">
      <c r="A43" s="6">
        <v>46033</v>
      </c>
      <c r="B43" s="8">
        <f t="shared" si="0"/>
        <v>11</v>
      </c>
      <c r="C43" s="8">
        <f t="shared" si="1"/>
        <v>17</v>
      </c>
      <c r="D43" s="7">
        <f t="shared" si="2"/>
        <v>0.40456908947398074</v>
      </c>
      <c r="F43">
        <f t="shared" si="3"/>
        <v>-0.40456908947398074</v>
      </c>
      <c r="G43">
        <f t="shared" si="4"/>
        <v>-0.32365527157918461</v>
      </c>
      <c r="H43">
        <f t="shared" si="5"/>
        <v>-0.24274145368438843</v>
      </c>
      <c r="I43">
        <f t="shared" si="6"/>
        <v>-0.16182763578959231</v>
      </c>
      <c r="J43">
        <f t="shared" si="7"/>
        <v>-8.0913817894796153E-2</v>
      </c>
      <c r="K43">
        <f t="shared" si="8"/>
        <v>0</v>
      </c>
      <c r="L43">
        <f t="shared" si="9"/>
        <v>8.0913817894796153E-2</v>
      </c>
      <c r="M43">
        <f t="shared" si="10"/>
        <v>0.16182763578959231</v>
      </c>
      <c r="N43">
        <f t="shared" si="11"/>
        <v>0.24274145368438843</v>
      </c>
      <c r="O43">
        <f t="shared" si="12"/>
        <v>0.32365527157918461</v>
      </c>
      <c r="P43">
        <f t="shared" si="13"/>
        <v>0.40456908947398074</v>
      </c>
    </row>
    <row r="44" spans="1:16" x14ac:dyDescent="0.3">
      <c r="A44" s="6">
        <v>46034</v>
      </c>
      <c r="B44" s="8">
        <f t="shared" si="0"/>
        <v>12</v>
      </c>
      <c r="C44" s="8">
        <f t="shared" si="1"/>
        <v>18</v>
      </c>
      <c r="D44" s="7">
        <f t="shared" si="2"/>
        <v>0.37404675363940587</v>
      </c>
      <c r="F44">
        <f t="shared" si="3"/>
        <v>-0.37404675363940587</v>
      </c>
      <c r="G44">
        <f t="shared" si="4"/>
        <v>-0.29923740291152473</v>
      </c>
      <c r="H44">
        <f t="shared" si="5"/>
        <v>-0.22442805218364351</v>
      </c>
      <c r="I44">
        <f t="shared" si="6"/>
        <v>-0.14961870145576237</v>
      </c>
      <c r="J44">
        <f t="shared" si="7"/>
        <v>-7.4809350727881183E-2</v>
      </c>
      <c r="K44">
        <f t="shared" si="8"/>
        <v>0</v>
      </c>
      <c r="L44">
        <f t="shared" si="9"/>
        <v>7.4809350727881183E-2</v>
      </c>
      <c r="M44">
        <f t="shared" si="10"/>
        <v>0.14961870145576237</v>
      </c>
      <c r="N44">
        <f t="shared" si="11"/>
        <v>0.22442805218364351</v>
      </c>
      <c r="O44">
        <f t="shared" si="12"/>
        <v>0.29923740291152473</v>
      </c>
      <c r="P44">
        <f t="shared" si="13"/>
        <v>0.37404675363940587</v>
      </c>
    </row>
    <row r="45" spans="1:16" x14ac:dyDescent="0.3">
      <c r="A45" s="6">
        <v>46035</v>
      </c>
      <c r="B45" s="8">
        <f t="shared" si="0"/>
        <v>13</v>
      </c>
      <c r="C45" s="8">
        <f t="shared" si="1"/>
        <v>19</v>
      </c>
      <c r="D45" s="7">
        <f t="shared" si="2"/>
        <v>0.3441058844013094</v>
      </c>
      <c r="F45">
        <f t="shared" si="3"/>
        <v>-0.3441058844013094</v>
      </c>
      <c r="G45">
        <f t="shared" si="4"/>
        <v>-0.27528470752104756</v>
      </c>
      <c r="H45">
        <f t="shared" si="5"/>
        <v>-0.20646353064078563</v>
      </c>
      <c r="I45">
        <f t="shared" si="6"/>
        <v>-0.13764235376052378</v>
      </c>
      <c r="J45">
        <f t="shared" si="7"/>
        <v>-6.8821176880261889E-2</v>
      </c>
      <c r="K45">
        <f t="shared" si="8"/>
        <v>0</v>
      </c>
      <c r="L45">
        <f t="shared" si="9"/>
        <v>6.8821176880261889E-2</v>
      </c>
      <c r="M45">
        <f t="shared" si="10"/>
        <v>0.13764235376052378</v>
      </c>
      <c r="N45">
        <f t="shared" si="11"/>
        <v>0.20646353064078563</v>
      </c>
      <c r="O45">
        <f t="shared" si="12"/>
        <v>0.27528470752104756</v>
      </c>
      <c r="P45">
        <f t="shared" si="13"/>
        <v>0.3441058844013094</v>
      </c>
    </row>
    <row r="46" spans="1:16" x14ac:dyDescent="0.3">
      <c r="A46" s="6">
        <v>46036</v>
      </c>
      <c r="B46" s="8">
        <f t="shared" si="0"/>
        <v>14</v>
      </c>
      <c r="C46" s="8">
        <f t="shared" si="1"/>
        <v>20</v>
      </c>
      <c r="D46" s="7">
        <f t="shared" si="2"/>
        <v>0.3147580015448902</v>
      </c>
      <c r="F46">
        <f t="shared" si="3"/>
        <v>-0.3147580015448902</v>
      </c>
      <c r="G46">
        <f t="shared" si="4"/>
        <v>-0.25180640123591219</v>
      </c>
      <c r="H46">
        <f t="shared" si="5"/>
        <v>-0.1888548009269341</v>
      </c>
      <c r="I46">
        <f t="shared" si="6"/>
        <v>-0.1259032006179561</v>
      </c>
      <c r="J46">
        <f t="shared" si="7"/>
        <v>-6.2951600308978048E-2</v>
      </c>
      <c r="K46">
        <f t="shared" si="8"/>
        <v>0</v>
      </c>
      <c r="L46">
        <f t="shared" si="9"/>
        <v>6.2951600308978048E-2</v>
      </c>
      <c r="M46">
        <f t="shared" si="10"/>
        <v>0.1259032006179561</v>
      </c>
      <c r="N46">
        <f t="shared" si="11"/>
        <v>0.1888548009269341</v>
      </c>
      <c r="O46">
        <f t="shared" si="12"/>
        <v>0.25180640123591219</v>
      </c>
      <c r="P46">
        <f t="shared" si="13"/>
        <v>0.3147580015448902</v>
      </c>
    </row>
    <row r="47" spans="1:16" x14ac:dyDescent="0.3">
      <c r="A47" s="6">
        <v>46037</v>
      </c>
      <c r="B47" s="8">
        <f t="shared" si="0"/>
        <v>15</v>
      </c>
      <c r="C47" s="8">
        <f t="shared" si="1"/>
        <v>21</v>
      </c>
      <c r="D47" s="7">
        <f t="shared" si="2"/>
        <v>0.28601533803296431</v>
      </c>
      <c r="F47">
        <f t="shared" si="3"/>
        <v>-0.28601533803296431</v>
      </c>
      <c r="G47">
        <f t="shared" si="4"/>
        <v>-0.22881227042637145</v>
      </c>
      <c r="H47">
        <f t="shared" si="5"/>
        <v>-0.17160920281977857</v>
      </c>
      <c r="I47">
        <f t="shared" si="6"/>
        <v>-0.11440613521318573</v>
      </c>
      <c r="J47">
        <f t="shared" si="7"/>
        <v>-5.7203067606592863E-2</v>
      </c>
      <c r="K47">
        <f t="shared" si="8"/>
        <v>0</v>
      </c>
      <c r="L47">
        <f t="shared" si="9"/>
        <v>5.7203067606592863E-2</v>
      </c>
      <c r="M47">
        <f t="shared" si="10"/>
        <v>0.11440613521318573</v>
      </c>
      <c r="N47">
        <f t="shared" si="11"/>
        <v>0.17160920281977857</v>
      </c>
      <c r="O47">
        <f t="shared" si="12"/>
        <v>0.22881227042637145</v>
      </c>
      <c r="P47">
        <f t="shared" si="13"/>
        <v>0.28601533803296431</v>
      </c>
    </row>
    <row r="48" spans="1:16" x14ac:dyDescent="0.3">
      <c r="A48" s="6">
        <v>46038</v>
      </c>
      <c r="B48" s="8">
        <f t="shared" si="0"/>
        <v>16</v>
      </c>
      <c r="C48" s="8">
        <f t="shared" si="1"/>
        <v>22</v>
      </c>
      <c r="D48" s="7">
        <f t="shared" si="2"/>
        <v>0.25789091679026155</v>
      </c>
      <c r="F48">
        <f t="shared" si="3"/>
        <v>-0.25789091679026155</v>
      </c>
      <c r="G48">
        <f t="shared" si="4"/>
        <v>-0.20631273343220924</v>
      </c>
      <c r="H48">
        <f t="shared" si="5"/>
        <v>-0.15473455007415693</v>
      </c>
      <c r="I48">
        <f t="shared" si="6"/>
        <v>-0.10315636671610462</v>
      </c>
      <c r="J48">
        <f t="shared" si="7"/>
        <v>-5.157818335805231E-2</v>
      </c>
      <c r="K48">
        <f t="shared" si="8"/>
        <v>0</v>
      </c>
      <c r="L48">
        <f t="shared" si="9"/>
        <v>5.157818335805231E-2</v>
      </c>
      <c r="M48">
        <f t="shared" si="10"/>
        <v>0.10315636671610462</v>
      </c>
      <c r="N48">
        <f t="shared" si="11"/>
        <v>0.15473455007415693</v>
      </c>
      <c r="O48">
        <f t="shared" si="12"/>
        <v>0.20631273343220924</v>
      </c>
      <c r="P48">
        <f t="shared" si="13"/>
        <v>0.25789091679026155</v>
      </c>
    </row>
    <row r="49" spans="1:16" x14ac:dyDescent="0.3">
      <c r="A49" s="6">
        <v>46039</v>
      </c>
      <c r="B49" s="8">
        <f t="shared" si="0"/>
        <v>17</v>
      </c>
      <c r="C49" s="8">
        <f t="shared" si="1"/>
        <v>23</v>
      </c>
      <c r="D49" s="7">
        <f t="shared" si="2"/>
        <v>0.23039863958747295</v>
      </c>
      <c r="F49">
        <f t="shared" si="3"/>
        <v>-0.23039863958747295</v>
      </c>
      <c r="G49">
        <f t="shared" si="4"/>
        <v>-0.18431891166997838</v>
      </c>
      <c r="H49">
        <f t="shared" si="5"/>
        <v>-0.13823918375248376</v>
      </c>
      <c r="I49">
        <f t="shared" si="6"/>
        <v>-9.215945583498919E-2</v>
      </c>
      <c r="J49">
        <f t="shared" si="7"/>
        <v>-4.6079727917494595E-2</v>
      </c>
      <c r="K49">
        <f t="shared" si="8"/>
        <v>0</v>
      </c>
      <c r="L49">
        <f t="shared" si="9"/>
        <v>4.6079727917494595E-2</v>
      </c>
      <c r="M49">
        <f t="shared" si="10"/>
        <v>9.215945583498919E-2</v>
      </c>
      <c r="N49">
        <f t="shared" si="11"/>
        <v>0.13823918375248376</v>
      </c>
      <c r="O49">
        <f t="shared" si="12"/>
        <v>0.18431891166997838</v>
      </c>
      <c r="P49">
        <f t="shared" si="13"/>
        <v>0.23039863958747295</v>
      </c>
    </row>
    <row r="50" spans="1:16" x14ac:dyDescent="0.3">
      <c r="A50" s="6">
        <v>46040</v>
      </c>
      <c r="B50" s="8">
        <f t="shared" si="0"/>
        <v>18</v>
      </c>
      <c r="C50" s="8">
        <f t="shared" si="1"/>
        <v>24</v>
      </c>
      <c r="D50" s="7">
        <f t="shared" si="2"/>
        <v>0.2035533905932739</v>
      </c>
      <c r="F50">
        <f t="shared" si="3"/>
        <v>-0.2035533905932739</v>
      </c>
      <c r="G50">
        <f t="shared" si="4"/>
        <v>-0.16284271247461912</v>
      </c>
      <c r="H50">
        <f t="shared" si="5"/>
        <v>-0.12213203435596434</v>
      </c>
      <c r="I50">
        <f t="shared" si="6"/>
        <v>-8.1421356237309561E-2</v>
      </c>
      <c r="J50">
        <f t="shared" si="7"/>
        <v>-4.0710678118654781E-2</v>
      </c>
      <c r="K50">
        <f t="shared" si="8"/>
        <v>0</v>
      </c>
      <c r="L50">
        <f t="shared" si="9"/>
        <v>4.0710678118654781E-2</v>
      </c>
      <c r="M50">
        <f t="shared" si="10"/>
        <v>8.1421356237309561E-2</v>
      </c>
      <c r="N50">
        <f t="shared" si="11"/>
        <v>0.12213203435596434</v>
      </c>
      <c r="O50">
        <f t="shared" si="12"/>
        <v>0.16284271247461912</v>
      </c>
      <c r="P50">
        <f t="shared" si="13"/>
        <v>0.2035533905932739</v>
      </c>
    </row>
    <row r="51" spans="1:16" x14ac:dyDescent="0.3">
      <c r="A51" s="6">
        <v>46041</v>
      </c>
      <c r="B51" s="8">
        <f t="shared" si="0"/>
        <v>19</v>
      </c>
      <c r="C51" s="8">
        <f t="shared" si="1"/>
        <v>25</v>
      </c>
      <c r="D51" s="7">
        <f t="shared" si="2"/>
        <v>0.17737115786214283</v>
      </c>
      <c r="F51">
        <f t="shared" si="3"/>
        <v>-0.17737115786214283</v>
      </c>
      <c r="G51">
        <f t="shared" si="4"/>
        <v>-0.14189692628971426</v>
      </c>
      <c r="H51">
        <f t="shared" si="5"/>
        <v>-0.1064226947172857</v>
      </c>
      <c r="I51">
        <f t="shared" si="6"/>
        <v>-7.094846314485713E-2</v>
      </c>
      <c r="J51">
        <f t="shared" si="7"/>
        <v>-3.5474231572428565E-2</v>
      </c>
      <c r="K51">
        <f t="shared" si="8"/>
        <v>0</v>
      </c>
      <c r="L51">
        <f t="shared" si="9"/>
        <v>3.5474231572428565E-2</v>
      </c>
      <c r="M51">
        <f t="shared" si="10"/>
        <v>7.094846314485713E-2</v>
      </c>
      <c r="N51">
        <f t="shared" si="11"/>
        <v>0.1064226947172857</v>
      </c>
      <c r="O51">
        <f t="shared" si="12"/>
        <v>0.14189692628971426</v>
      </c>
      <c r="P51">
        <f t="shared" si="13"/>
        <v>0.17737115786214283</v>
      </c>
    </row>
    <row r="52" spans="1:16" x14ac:dyDescent="0.3">
      <c r="A52" s="6">
        <v>46042</v>
      </c>
      <c r="B52" s="8">
        <f t="shared" si="0"/>
        <v>20</v>
      </c>
      <c r="C52" s="8">
        <f t="shared" si="1"/>
        <v>26</v>
      </c>
      <c r="D52" s="7">
        <f t="shared" si="2"/>
        <v>0.15186917696247162</v>
      </c>
      <c r="F52">
        <f t="shared" si="3"/>
        <v>-0.15186917696247162</v>
      </c>
      <c r="G52">
        <f t="shared" si="4"/>
        <v>-0.12149534156997731</v>
      </c>
      <c r="H52">
        <f t="shared" si="5"/>
        <v>-9.1121506177482978E-2</v>
      </c>
      <c r="I52">
        <f t="shared" si="6"/>
        <v>-6.0747670784988654E-2</v>
      </c>
      <c r="J52">
        <f t="shared" si="7"/>
        <v>-3.0373835392494327E-2</v>
      </c>
      <c r="K52">
        <f t="shared" si="8"/>
        <v>0</v>
      </c>
      <c r="L52">
        <f t="shared" si="9"/>
        <v>3.0373835392494327E-2</v>
      </c>
      <c r="M52">
        <f t="shared" si="10"/>
        <v>6.0747670784988654E-2</v>
      </c>
      <c r="N52">
        <f t="shared" si="11"/>
        <v>9.1121506177482978E-2</v>
      </c>
      <c r="O52">
        <f t="shared" si="12"/>
        <v>0.12149534156997731</v>
      </c>
      <c r="P52">
        <f t="shared" si="13"/>
        <v>0.15186917696247162</v>
      </c>
    </row>
    <row r="53" spans="1:16" x14ac:dyDescent="0.3">
      <c r="A53" s="6">
        <v>46043</v>
      </c>
      <c r="B53" s="8">
        <f t="shared" si="0"/>
        <v>21</v>
      </c>
      <c r="C53" s="8">
        <f t="shared" si="1"/>
        <v>27</v>
      </c>
      <c r="D53" s="7">
        <f t="shared" si="2"/>
        <v>0.12706610222111261</v>
      </c>
      <c r="F53">
        <f t="shared" si="3"/>
        <v>-0.12706610222111261</v>
      </c>
      <c r="G53">
        <f t="shared" si="4"/>
        <v>-0.10165288177689009</v>
      </c>
      <c r="H53">
        <f t="shared" si="5"/>
        <v>-7.623966133266756E-2</v>
      </c>
      <c r="I53">
        <f t="shared" si="6"/>
        <v>-5.0826440888445047E-2</v>
      </c>
      <c r="J53">
        <f t="shared" si="7"/>
        <v>-2.5413220444222524E-2</v>
      </c>
      <c r="K53">
        <f t="shared" si="8"/>
        <v>0</v>
      </c>
      <c r="L53">
        <f t="shared" si="9"/>
        <v>2.5413220444222524E-2</v>
      </c>
      <c r="M53">
        <f t="shared" si="10"/>
        <v>5.0826440888445047E-2</v>
      </c>
      <c r="N53">
        <f t="shared" si="11"/>
        <v>7.623966133266756E-2</v>
      </c>
      <c r="O53">
        <f t="shared" si="12"/>
        <v>0.10165288177689009</v>
      </c>
      <c r="P53">
        <f t="shared" si="13"/>
        <v>0.12706610222111261</v>
      </c>
    </row>
    <row r="54" spans="1:16" x14ac:dyDescent="0.3">
      <c r="A54" s="6">
        <v>46044</v>
      </c>
      <c r="B54" s="8">
        <f t="shared" si="0"/>
        <v>22</v>
      </c>
      <c r="C54" s="8">
        <f t="shared" si="1"/>
        <v>28</v>
      </c>
      <c r="D54" s="7">
        <f t="shared" si="2"/>
        <v>0.10298221281347045</v>
      </c>
      <c r="F54">
        <f t="shared" si="3"/>
        <v>-0.10298221281347045</v>
      </c>
      <c r="G54">
        <f t="shared" si="4"/>
        <v>-8.2385770250776369E-2</v>
      </c>
      <c r="H54">
        <f t="shared" si="5"/>
        <v>-6.1789327688082263E-2</v>
      </c>
      <c r="I54">
        <f t="shared" si="6"/>
        <v>-4.1192885125388184E-2</v>
      </c>
      <c r="J54">
        <f t="shared" si="7"/>
        <v>-2.0596442562694092E-2</v>
      </c>
      <c r="K54">
        <f t="shared" si="8"/>
        <v>0</v>
      </c>
      <c r="L54">
        <f t="shared" si="9"/>
        <v>2.0596442562694092E-2</v>
      </c>
      <c r="M54">
        <f t="shared" si="10"/>
        <v>4.1192885125388184E-2</v>
      </c>
      <c r="N54">
        <f t="shared" si="11"/>
        <v>6.1789327688082263E-2</v>
      </c>
      <c r="O54">
        <f t="shared" si="12"/>
        <v>8.2385770250776369E-2</v>
      </c>
      <c r="P54">
        <f t="shared" si="13"/>
        <v>0.10298221281347045</v>
      </c>
    </row>
    <row r="55" spans="1:16" x14ac:dyDescent="0.3">
      <c r="A55" s="6">
        <v>46045</v>
      </c>
      <c r="B55" s="8">
        <f t="shared" si="0"/>
        <v>23</v>
      </c>
      <c r="C55" s="8">
        <f t="shared" si="1"/>
        <v>29</v>
      </c>
      <c r="D55" s="7">
        <f t="shared" si="2"/>
        <v>7.9639663385923071E-2</v>
      </c>
      <c r="F55">
        <f t="shared" si="3"/>
        <v>-7.9639663385923071E-2</v>
      </c>
      <c r="G55">
        <f t="shared" si="4"/>
        <v>-6.3711730708738465E-2</v>
      </c>
      <c r="H55">
        <f t="shared" si="5"/>
        <v>-4.7783798031553838E-2</v>
      </c>
      <c r="I55">
        <f t="shared" si="6"/>
        <v>-3.1855865354369232E-2</v>
      </c>
      <c r="J55">
        <f t="shared" si="7"/>
        <v>-1.5927932677184616E-2</v>
      </c>
      <c r="K55">
        <f t="shared" si="8"/>
        <v>0</v>
      </c>
      <c r="L55">
        <f t="shared" si="9"/>
        <v>1.5927932677184616E-2</v>
      </c>
      <c r="M55">
        <f t="shared" si="10"/>
        <v>3.1855865354369232E-2</v>
      </c>
      <c r="N55">
        <f t="shared" si="11"/>
        <v>4.7783798031553838E-2</v>
      </c>
      <c r="O55">
        <f t="shared" si="12"/>
        <v>6.3711730708738465E-2</v>
      </c>
      <c r="P55">
        <f t="shared" si="13"/>
        <v>7.9639663385923071E-2</v>
      </c>
    </row>
    <row r="56" spans="1:16" x14ac:dyDescent="0.3">
      <c r="A56" s="6">
        <v>46046</v>
      </c>
      <c r="B56" s="8">
        <f t="shared" si="0"/>
        <v>24</v>
      </c>
      <c r="C56" s="8">
        <f t="shared" si="1"/>
        <v>30</v>
      </c>
      <c r="D56" s="7">
        <f t="shared" si="2"/>
        <v>5.7062792408486662E-2</v>
      </c>
      <c r="F56">
        <f t="shared" si="3"/>
        <v>-5.7062792408486662E-2</v>
      </c>
      <c r="G56">
        <f t="shared" si="4"/>
        <v>-4.5650233926789331E-2</v>
      </c>
      <c r="H56">
        <f t="shared" si="5"/>
        <v>-3.4237675445091993E-2</v>
      </c>
      <c r="I56">
        <f t="shared" si="6"/>
        <v>-2.2825116963394666E-2</v>
      </c>
      <c r="J56">
        <f t="shared" si="7"/>
        <v>-1.1412558481697333E-2</v>
      </c>
      <c r="K56">
        <f t="shared" si="8"/>
        <v>0</v>
      </c>
      <c r="L56">
        <f t="shared" si="9"/>
        <v>1.1412558481697333E-2</v>
      </c>
      <c r="M56">
        <f t="shared" si="10"/>
        <v>2.2825116963394666E-2</v>
      </c>
      <c r="N56">
        <f t="shared" si="11"/>
        <v>3.4237675445091993E-2</v>
      </c>
      <c r="O56">
        <f t="shared" si="12"/>
        <v>4.5650233926789331E-2</v>
      </c>
      <c r="P56">
        <f t="shared" si="13"/>
        <v>5.7062792408486662E-2</v>
      </c>
    </row>
    <row r="57" spans="1:16" x14ac:dyDescent="0.3">
      <c r="A57" s="6">
        <v>46047</v>
      </c>
      <c r="B57" s="8">
        <f t="shared" si="0"/>
        <v>25</v>
      </c>
      <c r="C57" s="8">
        <f t="shared" si="1"/>
        <v>31</v>
      </c>
      <c r="D57" s="7">
        <f t="shared" si="2"/>
        <v>3.5278506578610036E-2</v>
      </c>
      <c r="F57">
        <f t="shared" si="3"/>
        <v>-3.5278506578610036E-2</v>
      </c>
      <c r="G57">
        <f t="shared" si="4"/>
        <v>-2.8222805262888031E-2</v>
      </c>
      <c r="H57">
        <f t="shared" si="5"/>
        <v>-2.1167103947166022E-2</v>
      </c>
      <c r="I57">
        <f t="shared" si="6"/>
        <v>-1.4111402631444015E-2</v>
      </c>
      <c r="J57">
        <f t="shared" si="7"/>
        <v>-7.0557013157220077E-3</v>
      </c>
      <c r="K57">
        <f t="shared" si="8"/>
        <v>0</v>
      </c>
      <c r="L57">
        <f t="shared" si="9"/>
        <v>7.0557013157220077E-3</v>
      </c>
      <c r="M57">
        <f t="shared" si="10"/>
        <v>1.4111402631444015E-2</v>
      </c>
      <c r="N57">
        <f t="shared" si="11"/>
        <v>2.1167103947166022E-2</v>
      </c>
      <c r="O57">
        <f t="shared" si="12"/>
        <v>2.8222805262888031E-2</v>
      </c>
      <c r="P57">
        <f t="shared" si="13"/>
        <v>3.5278506578610036E-2</v>
      </c>
    </row>
    <row r="58" spans="1:16" x14ac:dyDescent="0.3">
      <c r="A58" s="6">
        <v>46048</v>
      </c>
      <c r="B58" s="8">
        <f t="shared" si="0"/>
        <v>26</v>
      </c>
      <c r="C58" s="8">
        <f t="shared" si="1"/>
        <v>32</v>
      </c>
      <c r="D58" s="7">
        <f t="shared" si="2"/>
        <v>1.4316767251549872E-2</v>
      </c>
      <c r="F58">
        <f t="shared" si="3"/>
        <v>-1.4316767251549872E-2</v>
      </c>
      <c r="G58">
        <f t="shared" si="4"/>
        <v>-1.1453413801239898E-2</v>
      </c>
      <c r="H58">
        <f t="shared" si="5"/>
        <v>-8.5900603509299223E-3</v>
      </c>
      <c r="I58">
        <f t="shared" si="6"/>
        <v>-5.7267069006199491E-3</v>
      </c>
      <c r="J58">
        <f t="shared" si="7"/>
        <v>-2.8633534503099745E-3</v>
      </c>
      <c r="K58">
        <f t="shared" si="8"/>
        <v>0</v>
      </c>
      <c r="L58">
        <f t="shared" si="9"/>
        <v>2.8633534503099745E-3</v>
      </c>
      <c r="M58">
        <f t="shared" si="10"/>
        <v>5.7267069006199491E-3</v>
      </c>
      <c r="N58">
        <f t="shared" si="11"/>
        <v>8.5900603509299223E-3</v>
      </c>
      <c r="O58">
        <f t="shared" si="12"/>
        <v>1.1453413801239898E-2</v>
      </c>
      <c r="P58">
        <f t="shared" si="13"/>
        <v>1.4316767251549872E-2</v>
      </c>
    </row>
    <row r="59" spans="1:16" x14ac:dyDescent="0.3">
      <c r="A59" s="6">
        <v>46049</v>
      </c>
      <c r="B59" s="8">
        <f t="shared" si="0"/>
        <v>27</v>
      </c>
      <c r="C59" s="8">
        <f t="shared" si="1"/>
        <v>33</v>
      </c>
      <c r="D59" s="7">
        <f t="shared" si="2"/>
        <v>-5.788783376604073E-3</v>
      </c>
      <c r="F59">
        <f t="shared" si="3"/>
        <v>5.788783376604073E-3</v>
      </c>
      <c r="G59">
        <f t="shared" si="4"/>
        <v>4.6310267012832588E-3</v>
      </c>
      <c r="H59">
        <f t="shared" si="5"/>
        <v>3.4732700259624437E-3</v>
      </c>
      <c r="I59">
        <f t="shared" si="6"/>
        <v>2.3155133506416294E-3</v>
      </c>
      <c r="J59">
        <f t="shared" si="7"/>
        <v>1.1577566753208147E-3</v>
      </c>
      <c r="K59">
        <f t="shared" si="8"/>
        <v>0</v>
      </c>
      <c r="L59">
        <f t="shared" si="9"/>
        <v>-1.1577566753208147E-3</v>
      </c>
      <c r="M59">
        <f t="shared" si="10"/>
        <v>-2.3155133506416294E-3</v>
      </c>
      <c r="N59">
        <f t="shared" si="11"/>
        <v>-3.4732700259624437E-3</v>
      </c>
      <c r="O59">
        <f t="shared" si="12"/>
        <v>-4.6310267012832588E-3</v>
      </c>
      <c r="P59">
        <f t="shared" si="13"/>
        <v>-5.788783376604073E-3</v>
      </c>
    </row>
    <row r="60" spans="1:16" x14ac:dyDescent="0.3">
      <c r="A60" s="6">
        <v>46050</v>
      </c>
      <c r="B60" s="8">
        <f t="shared" si="0"/>
        <v>28</v>
      </c>
      <c r="C60" s="8">
        <f t="shared" si="1"/>
        <v>34</v>
      </c>
      <c r="D60" s="7">
        <f t="shared" si="2"/>
        <v>-2.4999999999999911E-2</v>
      </c>
      <c r="F60">
        <f t="shared" si="3"/>
        <v>2.4999999999999911E-2</v>
      </c>
      <c r="G60">
        <f t="shared" si="4"/>
        <v>1.9999999999999931E-2</v>
      </c>
      <c r="H60">
        <f t="shared" si="5"/>
        <v>1.4999999999999946E-2</v>
      </c>
      <c r="I60">
        <f t="shared" si="6"/>
        <v>9.9999999999999655E-3</v>
      </c>
      <c r="J60">
        <f t="shared" si="7"/>
        <v>4.9999999999999828E-3</v>
      </c>
      <c r="K60">
        <f t="shared" si="8"/>
        <v>0</v>
      </c>
      <c r="L60">
        <f t="shared" si="9"/>
        <v>-4.9999999999999828E-3</v>
      </c>
      <c r="M60">
        <f t="shared" si="10"/>
        <v>-9.9999999999999655E-3</v>
      </c>
      <c r="N60">
        <f t="shared" si="11"/>
        <v>-1.4999999999999946E-2</v>
      </c>
      <c r="O60">
        <f t="shared" si="12"/>
        <v>-1.9999999999999931E-2</v>
      </c>
      <c r="P60">
        <f t="shared" si="13"/>
        <v>-2.4999999999999911E-2</v>
      </c>
    </row>
    <row r="61" spans="1:16" x14ac:dyDescent="0.3">
      <c r="A61" s="6">
        <v>46051</v>
      </c>
      <c r="B61" s="8">
        <f t="shared" si="0"/>
        <v>29</v>
      </c>
      <c r="C61" s="8">
        <f t="shared" si="1"/>
        <v>35</v>
      </c>
      <c r="D61" s="7">
        <f t="shared" si="2"/>
        <v>-4.3273128969317107E-2</v>
      </c>
      <c r="F61">
        <f t="shared" si="3"/>
        <v>4.3273128969317107E-2</v>
      </c>
      <c r="G61">
        <f t="shared" si="4"/>
        <v>3.4618503175453688E-2</v>
      </c>
      <c r="H61">
        <f t="shared" si="5"/>
        <v>2.5963877381590263E-2</v>
      </c>
      <c r="I61">
        <f t="shared" si="6"/>
        <v>1.7309251587726844E-2</v>
      </c>
      <c r="J61">
        <f t="shared" si="7"/>
        <v>8.654625793863422E-3</v>
      </c>
      <c r="K61">
        <f t="shared" si="8"/>
        <v>0</v>
      </c>
      <c r="L61">
        <f t="shared" si="9"/>
        <v>-8.654625793863422E-3</v>
      </c>
      <c r="M61">
        <f t="shared" si="10"/>
        <v>-1.7309251587726844E-2</v>
      </c>
      <c r="N61">
        <f t="shared" si="11"/>
        <v>-2.5963877381590263E-2</v>
      </c>
      <c r="O61">
        <f t="shared" si="12"/>
        <v>-3.4618503175453688E-2</v>
      </c>
      <c r="P61">
        <f t="shared" si="13"/>
        <v>-4.3273128969317107E-2</v>
      </c>
    </row>
    <row r="62" spans="1:16" x14ac:dyDescent="0.3">
      <c r="A62" s="6">
        <v>46052</v>
      </c>
      <c r="B62" s="8">
        <f t="shared" si="0"/>
        <v>30</v>
      </c>
      <c r="C62" s="8">
        <f t="shared" si="1"/>
        <v>36</v>
      </c>
      <c r="D62" s="7">
        <f t="shared" si="2"/>
        <v>-6.0557280900008378E-2</v>
      </c>
      <c r="F62">
        <f t="shared" si="3"/>
        <v>6.0557280900008378E-2</v>
      </c>
      <c r="G62">
        <f t="shared" si="4"/>
        <v>4.8445824720006705E-2</v>
      </c>
      <c r="H62">
        <f t="shared" si="5"/>
        <v>3.6334368540005026E-2</v>
      </c>
      <c r="I62">
        <f t="shared" si="6"/>
        <v>2.4222912360003353E-2</v>
      </c>
      <c r="J62">
        <f t="shared" si="7"/>
        <v>1.2111456180001676E-2</v>
      </c>
      <c r="K62">
        <f t="shared" si="8"/>
        <v>0</v>
      </c>
      <c r="L62">
        <f t="shared" si="9"/>
        <v>-1.2111456180001676E-2</v>
      </c>
      <c r="M62">
        <f t="shared" si="10"/>
        <v>-2.4222912360003353E-2</v>
      </c>
      <c r="N62">
        <f t="shared" si="11"/>
        <v>-3.6334368540005026E-2</v>
      </c>
      <c r="O62">
        <f t="shared" si="12"/>
        <v>-4.8445824720006705E-2</v>
      </c>
      <c r="P62">
        <f t="shared" si="13"/>
        <v>-6.0557280900008378E-2</v>
      </c>
    </row>
    <row r="63" spans="1:16" x14ac:dyDescent="0.3">
      <c r="A63" s="6">
        <v>46053</v>
      </c>
      <c r="B63" s="8">
        <f t="shared" si="0"/>
        <v>31</v>
      </c>
      <c r="C63" s="8">
        <f t="shared" si="1"/>
        <v>37</v>
      </c>
      <c r="D63" s="7">
        <f t="shared" si="2"/>
        <v>-7.679224767826838E-2</v>
      </c>
      <c r="F63">
        <f t="shared" si="3"/>
        <v>7.679224767826838E-2</v>
      </c>
      <c r="G63">
        <f t="shared" si="4"/>
        <v>6.143379814261471E-2</v>
      </c>
      <c r="H63">
        <f t="shared" si="5"/>
        <v>4.6075348606961025E-2</v>
      </c>
      <c r="I63">
        <f t="shared" si="6"/>
        <v>3.0716899071307355E-2</v>
      </c>
      <c r="J63">
        <f t="shared" si="7"/>
        <v>1.5358449535653677E-2</v>
      </c>
      <c r="K63">
        <f t="shared" si="8"/>
        <v>0</v>
      </c>
      <c r="L63">
        <f t="shared" si="9"/>
        <v>-1.5358449535653677E-2</v>
      </c>
      <c r="M63">
        <f t="shared" si="10"/>
        <v>-3.0716899071307355E-2</v>
      </c>
      <c r="N63">
        <f t="shared" si="11"/>
        <v>-4.6075348606961025E-2</v>
      </c>
      <c r="O63">
        <f t="shared" si="12"/>
        <v>-6.143379814261471E-2</v>
      </c>
      <c r="P63">
        <f t="shared" si="13"/>
        <v>-7.679224767826838E-2</v>
      </c>
    </row>
    <row r="64" spans="1:16" x14ac:dyDescent="0.3">
      <c r="A64" s="6">
        <v>46054</v>
      </c>
      <c r="B64" s="8">
        <f t="shared" si="0"/>
        <v>32</v>
      </c>
      <c r="C64" s="8">
        <f t="shared" si="1"/>
        <v>38</v>
      </c>
      <c r="D64" s="7">
        <f t="shared" si="2"/>
        <v>-9.1905249806888661E-2</v>
      </c>
      <c r="F64">
        <f t="shared" si="3"/>
        <v>9.1905249806888661E-2</v>
      </c>
      <c r="G64">
        <f t="shared" si="4"/>
        <v>7.3524199845510937E-2</v>
      </c>
      <c r="H64">
        <f t="shared" si="5"/>
        <v>5.5143149884133193E-2</v>
      </c>
      <c r="I64">
        <f t="shared" si="6"/>
        <v>3.6762099922755469E-2</v>
      </c>
      <c r="J64">
        <f t="shared" si="7"/>
        <v>1.8381049961377734E-2</v>
      </c>
      <c r="K64">
        <f t="shared" si="8"/>
        <v>0</v>
      </c>
      <c r="L64">
        <f t="shared" si="9"/>
        <v>-1.8381049961377734E-2</v>
      </c>
      <c r="M64">
        <f t="shared" si="10"/>
        <v>-3.6762099922755469E-2</v>
      </c>
      <c r="N64">
        <f t="shared" si="11"/>
        <v>-5.5143149884133193E-2</v>
      </c>
      <c r="O64">
        <f t="shared" si="12"/>
        <v>-7.3524199845510937E-2</v>
      </c>
      <c r="P64">
        <f t="shared" si="13"/>
        <v>-9.1905249806888661E-2</v>
      </c>
    </row>
    <row r="65" spans="1:16" x14ac:dyDescent="0.3">
      <c r="A65" s="6">
        <v>46055</v>
      </c>
      <c r="B65" s="8">
        <f t="shared" si="0"/>
        <v>33</v>
      </c>
      <c r="C65" s="8">
        <f t="shared" si="1"/>
        <v>39</v>
      </c>
      <c r="D65" s="7">
        <f t="shared" si="2"/>
        <v>-0.10580582617584072</v>
      </c>
      <c r="F65">
        <f t="shared" si="3"/>
        <v>0.10580582617584072</v>
      </c>
      <c r="G65">
        <f t="shared" si="4"/>
        <v>8.4644660940672578E-2</v>
      </c>
      <c r="H65">
        <f t="shared" si="5"/>
        <v>6.3483495705504434E-2</v>
      </c>
      <c r="I65">
        <f t="shared" si="6"/>
        <v>4.2322330470336289E-2</v>
      </c>
      <c r="J65">
        <f t="shared" si="7"/>
        <v>2.1161165235168145E-2</v>
      </c>
      <c r="K65">
        <f t="shared" si="8"/>
        <v>0</v>
      </c>
      <c r="L65">
        <f t="shared" si="9"/>
        <v>-2.1161165235168145E-2</v>
      </c>
      <c r="M65">
        <f t="shared" si="10"/>
        <v>-4.2322330470336289E-2</v>
      </c>
      <c r="N65">
        <f t="shared" si="11"/>
        <v>-6.3483495705504434E-2</v>
      </c>
      <c r="O65">
        <f t="shared" si="12"/>
        <v>-8.4644660940672578E-2</v>
      </c>
      <c r="P65">
        <f t="shared" si="13"/>
        <v>-0.10580582617584072</v>
      </c>
    </row>
    <row r="66" spans="1:16" x14ac:dyDescent="0.3">
      <c r="A66" s="6">
        <v>46056</v>
      </c>
      <c r="B66" s="8">
        <f t="shared" si="0"/>
        <v>34</v>
      </c>
      <c r="C66" s="8">
        <f t="shared" si="1"/>
        <v>40</v>
      </c>
      <c r="D66" s="7">
        <f t="shared" si="2"/>
        <v>-0.11837722339831616</v>
      </c>
      <c r="F66">
        <f t="shared" si="3"/>
        <v>0.11837722339831616</v>
      </c>
      <c r="G66">
        <f t="shared" si="4"/>
        <v>9.4701778718652929E-2</v>
      </c>
      <c r="H66">
        <f t="shared" si="5"/>
        <v>7.1026334038989697E-2</v>
      </c>
      <c r="I66">
        <f t="shared" si="6"/>
        <v>4.7350889359326465E-2</v>
      </c>
      <c r="J66">
        <f t="shared" si="7"/>
        <v>2.3675444679663232E-2</v>
      </c>
      <c r="K66">
        <f t="shared" si="8"/>
        <v>0</v>
      </c>
      <c r="L66">
        <f t="shared" si="9"/>
        <v>-2.3675444679663232E-2</v>
      </c>
      <c r="M66">
        <f t="shared" si="10"/>
        <v>-4.7350889359326465E-2</v>
      </c>
      <c r="N66">
        <f t="shared" si="11"/>
        <v>-7.1026334038989697E-2</v>
      </c>
      <c r="O66">
        <f t="shared" si="12"/>
        <v>-9.4701778718652929E-2</v>
      </c>
      <c r="P66">
        <f t="shared" si="13"/>
        <v>-0.11837722339831616</v>
      </c>
    </row>
    <row r="67" spans="1:16" x14ac:dyDescent="0.3">
      <c r="A67" s="6">
        <v>46057</v>
      </c>
      <c r="B67" s="8">
        <f t="shared" ref="B67:B130" si="14" xml:space="preserve"> A67 - DATE(YEAR(A67), 1, 1) + 1</f>
        <v>35</v>
      </c>
      <c r="C67" s="8">
        <f t="shared" ref="C67:C130" si="15">MIN(ABS(359-B67), 365-ABS(359-B67))</f>
        <v>41</v>
      </c>
      <c r="D67" s="7">
        <f t="shared" ref="D67:D130" si="16">MAX(0, $T$4 - (C67/$U$4)) ^ $T$7 - $U$7</f>
        <v>-0.12946040409355619</v>
      </c>
      <c r="F67">
        <f t="shared" ref="F67:F130" si="17">(-10/10) * D67</f>
        <v>0.12946040409355619</v>
      </c>
      <c r="G67">
        <f t="shared" ref="G67:G130" si="18">(-8/10) * $D67</f>
        <v>0.10356832327484496</v>
      </c>
      <c r="H67">
        <f t="shared" ref="H67:H130" si="19">(-6/10) * $D67</f>
        <v>7.7676242456133707E-2</v>
      </c>
      <c r="I67">
        <f t="shared" ref="I67:I130" si="20">(-4/10) * $D67</f>
        <v>5.1784161637422478E-2</v>
      </c>
      <c r="J67">
        <f t="shared" ref="J67:J130" si="21">(-2/10) * $D67</f>
        <v>2.5892080818711239E-2</v>
      </c>
      <c r="K67">
        <f t="shared" ref="K67:K130" si="22">(0/10) * $D67</f>
        <v>0</v>
      </c>
      <c r="L67">
        <f t="shared" ref="L67:L130" si="23">(2/10) * $D67</f>
        <v>-2.5892080818711239E-2</v>
      </c>
      <c r="M67">
        <f t="shared" ref="M67:M130" si="24">(4/10) * $D67</f>
        <v>-5.1784161637422478E-2</v>
      </c>
      <c r="N67">
        <f t="shared" ref="N67:N130" si="25">(6/10) * $D67</f>
        <v>-7.7676242456133707E-2</v>
      </c>
      <c r="O67">
        <f t="shared" ref="O67:O130" si="26">(8/10) * $D67</f>
        <v>-0.10356832327484496</v>
      </c>
      <c r="P67">
        <f t="shared" ref="P67:P130" si="27">(10/10) * $D67</f>
        <v>-0.12946040409355619</v>
      </c>
    </row>
    <row r="68" spans="1:16" x14ac:dyDescent="0.3">
      <c r="A68" s="6">
        <v>46058</v>
      </c>
      <c r="B68" s="8">
        <f t="shared" si="14"/>
        <v>36</v>
      </c>
      <c r="C68" s="8">
        <f t="shared" si="15"/>
        <v>42</v>
      </c>
      <c r="D68" s="7">
        <f t="shared" si="16"/>
        <v>-0.13881966011250102</v>
      </c>
      <c r="F68">
        <f t="shared" si="17"/>
        <v>0.13881966011250102</v>
      </c>
      <c r="G68">
        <f t="shared" si="18"/>
        <v>0.11105572809000082</v>
      </c>
      <c r="H68">
        <f t="shared" si="19"/>
        <v>8.3291796067500604E-2</v>
      </c>
      <c r="I68">
        <f t="shared" si="20"/>
        <v>5.5527864045000409E-2</v>
      </c>
      <c r="J68">
        <f t="shared" si="21"/>
        <v>2.7763932022500205E-2</v>
      </c>
      <c r="K68">
        <f t="shared" si="22"/>
        <v>0</v>
      </c>
      <c r="L68">
        <f t="shared" si="23"/>
        <v>-2.7763932022500205E-2</v>
      </c>
      <c r="M68">
        <f t="shared" si="24"/>
        <v>-5.5527864045000409E-2</v>
      </c>
      <c r="N68">
        <f t="shared" si="25"/>
        <v>-8.3291796067500604E-2</v>
      </c>
      <c r="O68">
        <f t="shared" si="26"/>
        <v>-0.11105572809000082</v>
      </c>
      <c r="P68">
        <f t="shared" si="27"/>
        <v>-0.13881966011250102</v>
      </c>
    </row>
    <row r="69" spans="1:16" x14ac:dyDescent="0.3">
      <c r="A69" s="6">
        <v>46059</v>
      </c>
      <c r="B69" s="8">
        <f t="shared" si="14"/>
        <v>37</v>
      </c>
      <c r="C69" s="8">
        <f t="shared" si="15"/>
        <v>43</v>
      </c>
      <c r="D69" s="7">
        <f t="shared" si="16"/>
        <v>-0.14604715292478948</v>
      </c>
      <c r="F69">
        <f t="shared" si="17"/>
        <v>0.14604715292478948</v>
      </c>
      <c r="G69">
        <f t="shared" si="18"/>
        <v>0.11683772233983158</v>
      </c>
      <c r="H69">
        <f t="shared" si="19"/>
        <v>8.7628291754873688E-2</v>
      </c>
      <c r="I69">
        <f t="shared" si="20"/>
        <v>5.8418861169915792E-2</v>
      </c>
      <c r="J69">
        <f t="shared" si="21"/>
        <v>2.9209430584957896E-2</v>
      </c>
      <c r="K69">
        <f t="shared" si="22"/>
        <v>0</v>
      </c>
      <c r="L69">
        <f t="shared" si="23"/>
        <v>-2.9209430584957896E-2</v>
      </c>
      <c r="M69">
        <f t="shared" si="24"/>
        <v>-5.8418861169915792E-2</v>
      </c>
      <c r="N69">
        <f t="shared" si="25"/>
        <v>-8.7628291754873688E-2</v>
      </c>
      <c r="O69">
        <f t="shared" si="26"/>
        <v>-0.11683772233983158</v>
      </c>
      <c r="P69">
        <f t="shared" si="27"/>
        <v>-0.14604715292478948</v>
      </c>
    </row>
    <row r="70" spans="1:16" x14ac:dyDescent="0.3">
      <c r="A70" s="6">
        <v>46060</v>
      </c>
      <c r="B70" s="8">
        <f t="shared" si="14"/>
        <v>38</v>
      </c>
      <c r="C70" s="8">
        <f t="shared" si="15"/>
        <v>44</v>
      </c>
      <c r="D70" s="7">
        <f t="shared" si="16"/>
        <v>-0.15</v>
      </c>
      <c r="F70">
        <f t="shared" si="17"/>
        <v>0.15</v>
      </c>
      <c r="G70">
        <f t="shared" si="18"/>
        <v>0.12</v>
      </c>
      <c r="H70">
        <f t="shared" si="19"/>
        <v>0.09</v>
      </c>
      <c r="I70">
        <f t="shared" si="20"/>
        <v>0.06</v>
      </c>
      <c r="J70">
        <f t="shared" si="21"/>
        <v>0.03</v>
      </c>
      <c r="K70">
        <f t="shared" si="22"/>
        <v>0</v>
      </c>
      <c r="L70">
        <f t="shared" si="23"/>
        <v>-0.03</v>
      </c>
      <c r="M70">
        <f t="shared" si="24"/>
        <v>-0.06</v>
      </c>
      <c r="N70">
        <f t="shared" si="25"/>
        <v>-0.09</v>
      </c>
      <c r="O70">
        <f t="shared" si="26"/>
        <v>-0.12</v>
      </c>
      <c r="P70">
        <f t="shared" si="27"/>
        <v>-0.15</v>
      </c>
    </row>
    <row r="71" spans="1:16" x14ac:dyDescent="0.3">
      <c r="A71" s="6">
        <v>46061</v>
      </c>
      <c r="B71" s="8">
        <f t="shared" si="14"/>
        <v>39</v>
      </c>
      <c r="C71" s="8">
        <f t="shared" si="15"/>
        <v>45</v>
      </c>
      <c r="D71" s="7">
        <f t="shared" si="16"/>
        <v>-0.15</v>
      </c>
      <c r="F71">
        <f t="shared" si="17"/>
        <v>0.15</v>
      </c>
      <c r="G71">
        <f t="shared" si="18"/>
        <v>0.12</v>
      </c>
      <c r="H71">
        <f t="shared" si="19"/>
        <v>0.09</v>
      </c>
      <c r="I71">
        <f t="shared" si="20"/>
        <v>0.06</v>
      </c>
      <c r="J71">
        <f t="shared" si="21"/>
        <v>0.03</v>
      </c>
      <c r="K71">
        <f t="shared" si="22"/>
        <v>0</v>
      </c>
      <c r="L71">
        <f t="shared" si="23"/>
        <v>-0.03</v>
      </c>
      <c r="M71">
        <f t="shared" si="24"/>
        <v>-0.06</v>
      </c>
      <c r="N71">
        <f t="shared" si="25"/>
        <v>-0.09</v>
      </c>
      <c r="O71">
        <f t="shared" si="26"/>
        <v>-0.12</v>
      </c>
      <c r="P71">
        <f t="shared" si="27"/>
        <v>-0.15</v>
      </c>
    </row>
    <row r="72" spans="1:16" x14ac:dyDescent="0.3">
      <c r="A72" s="6">
        <v>46062</v>
      </c>
      <c r="B72" s="8">
        <f t="shared" si="14"/>
        <v>40</v>
      </c>
      <c r="C72" s="8">
        <f t="shared" si="15"/>
        <v>46</v>
      </c>
      <c r="D72" s="7">
        <f t="shared" si="16"/>
        <v>-0.15</v>
      </c>
      <c r="F72">
        <f t="shared" si="17"/>
        <v>0.15</v>
      </c>
      <c r="G72">
        <f t="shared" si="18"/>
        <v>0.12</v>
      </c>
      <c r="H72">
        <f t="shared" si="19"/>
        <v>0.09</v>
      </c>
      <c r="I72">
        <f t="shared" si="20"/>
        <v>0.06</v>
      </c>
      <c r="J72">
        <f t="shared" si="21"/>
        <v>0.03</v>
      </c>
      <c r="K72">
        <f t="shared" si="22"/>
        <v>0</v>
      </c>
      <c r="L72">
        <f t="shared" si="23"/>
        <v>-0.03</v>
      </c>
      <c r="M72">
        <f t="shared" si="24"/>
        <v>-0.06</v>
      </c>
      <c r="N72">
        <f t="shared" si="25"/>
        <v>-0.09</v>
      </c>
      <c r="O72">
        <f t="shared" si="26"/>
        <v>-0.12</v>
      </c>
      <c r="P72">
        <f t="shared" si="27"/>
        <v>-0.15</v>
      </c>
    </row>
    <row r="73" spans="1:16" x14ac:dyDescent="0.3">
      <c r="A73" s="6">
        <v>46063</v>
      </c>
      <c r="B73" s="8">
        <f t="shared" si="14"/>
        <v>41</v>
      </c>
      <c r="C73" s="8">
        <f t="shared" si="15"/>
        <v>47</v>
      </c>
      <c r="D73" s="7">
        <f t="shared" si="16"/>
        <v>-0.15</v>
      </c>
      <c r="F73">
        <f t="shared" si="17"/>
        <v>0.15</v>
      </c>
      <c r="G73">
        <f t="shared" si="18"/>
        <v>0.12</v>
      </c>
      <c r="H73">
        <f t="shared" si="19"/>
        <v>0.09</v>
      </c>
      <c r="I73">
        <f t="shared" si="20"/>
        <v>0.06</v>
      </c>
      <c r="J73">
        <f t="shared" si="21"/>
        <v>0.03</v>
      </c>
      <c r="K73">
        <f t="shared" si="22"/>
        <v>0</v>
      </c>
      <c r="L73">
        <f t="shared" si="23"/>
        <v>-0.03</v>
      </c>
      <c r="M73">
        <f t="shared" si="24"/>
        <v>-0.06</v>
      </c>
      <c r="N73">
        <f t="shared" si="25"/>
        <v>-0.09</v>
      </c>
      <c r="O73">
        <f t="shared" si="26"/>
        <v>-0.12</v>
      </c>
      <c r="P73">
        <f t="shared" si="27"/>
        <v>-0.15</v>
      </c>
    </row>
    <row r="74" spans="1:16" x14ac:dyDescent="0.3">
      <c r="A74" s="6">
        <v>46064</v>
      </c>
      <c r="B74" s="8">
        <f t="shared" si="14"/>
        <v>42</v>
      </c>
      <c r="C74" s="8">
        <f t="shared" si="15"/>
        <v>48</v>
      </c>
      <c r="D74" s="7">
        <f t="shared" si="16"/>
        <v>-0.15</v>
      </c>
      <c r="F74">
        <f t="shared" si="17"/>
        <v>0.15</v>
      </c>
      <c r="G74">
        <f t="shared" si="18"/>
        <v>0.12</v>
      </c>
      <c r="H74">
        <f t="shared" si="19"/>
        <v>0.09</v>
      </c>
      <c r="I74">
        <f t="shared" si="20"/>
        <v>0.06</v>
      </c>
      <c r="J74">
        <f t="shared" si="21"/>
        <v>0.03</v>
      </c>
      <c r="K74">
        <f t="shared" si="22"/>
        <v>0</v>
      </c>
      <c r="L74">
        <f t="shared" si="23"/>
        <v>-0.03</v>
      </c>
      <c r="M74">
        <f t="shared" si="24"/>
        <v>-0.06</v>
      </c>
      <c r="N74">
        <f t="shared" si="25"/>
        <v>-0.09</v>
      </c>
      <c r="O74">
        <f t="shared" si="26"/>
        <v>-0.12</v>
      </c>
      <c r="P74">
        <f t="shared" si="27"/>
        <v>-0.15</v>
      </c>
    </row>
    <row r="75" spans="1:16" x14ac:dyDescent="0.3">
      <c r="A75" s="6">
        <v>46065</v>
      </c>
      <c r="B75" s="8">
        <f t="shared" si="14"/>
        <v>43</v>
      </c>
      <c r="C75" s="8">
        <f t="shared" si="15"/>
        <v>49</v>
      </c>
      <c r="D75" s="7">
        <f t="shared" si="16"/>
        <v>-0.15</v>
      </c>
      <c r="F75">
        <f t="shared" si="17"/>
        <v>0.15</v>
      </c>
      <c r="G75">
        <f t="shared" si="18"/>
        <v>0.12</v>
      </c>
      <c r="H75">
        <f t="shared" si="19"/>
        <v>0.09</v>
      </c>
      <c r="I75">
        <f t="shared" si="20"/>
        <v>0.06</v>
      </c>
      <c r="J75">
        <f t="shared" si="21"/>
        <v>0.03</v>
      </c>
      <c r="K75">
        <f t="shared" si="22"/>
        <v>0</v>
      </c>
      <c r="L75">
        <f t="shared" si="23"/>
        <v>-0.03</v>
      </c>
      <c r="M75">
        <f t="shared" si="24"/>
        <v>-0.06</v>
      </c>
      <c r="N75">
        <f t="shared" si="25"/>
        <v>-0.09</v>
      </c>
      <c r="O75">
        <f t="shared" si="26"/>
        <v>-0.12</v>
      </c>
      <c r="P75">
        <f t="shared" si="27"/>
        <v>-0.15</v>
      </c>
    </row>
    <row r="76" spans="1:16" x14ac:dyDescent="0.3">
      <c r="A76" s="6">
        <v>46066</v>
      </c>
      <c r="B76" s="8">
        <f t="shared" si="14"/>
        <v>44</v>
      </c>
      <c r="C76" s="8">
        <f t="shared" si="15"/>
        <v>50</v>
      </c>
      <c r="D76" s="7">
        <f t="shared" si="16"/>
        <v>-0.15</v>
      </c>
      <c r="F76">
        <f t="shared" si="17"/>
        <v>0.15</v>
      </c>
      <c r="G76">
        <f t="shared" si="18"/>
        <v>0.12</v>
      </c>
      <c r="H76">
        <f t="shared" si="19"/>
        <v>0.09</v>
      </c>
      <c r="I76">
        <f t="shared" si="20"/>
        <v>0.06</v>
      </c>
      <c r="J76">
        <f t="shared" si="21"/>
        <v>0.03</v>
      </c>
      <c r="K76">
        <f t="shared" si="22"/>
        <v>0</v>
      </c>
      <c r="L76">
        <f t="shared" si="23"/>
        <v>-0.03</v>
      </c>
      <c r="M76">
        <f t="shared" si="24"/>
        <v>-0.06</v>
      </c>
      <c r="N76">
        <f t="shared" si="25"/>
        <v>-0.09</v>
      </c>
      <c r="O76">
        <f t="shared" si="26"/>
        <v>-0.12</v>
      </c>
      <c r="P76">
        <f t="shared" si="27"/>
        <v>-0.15</v>
      </c>
    </row>
    <row r="77" spans="1:16" x14ac:dyDescent="0.3">
      <c r="A77" s="6">
        <v>46067</v>
      </c>
      <c r="B77" s="8">
        <f t="shared" si="14"/>
        <v>45</v>
      </c>
      <c r="C77" s="8">
        <f t="shared" si="15"/>
        <v>51</v>
      </c>
      <c r="D77" s="7">
        <f t="shared" si="16"/>
        <v>-0.15</v>
      </c>
      <c r="F77">
        <f t="shared" si="17"/>
        <v>0.15</v>
      </c>
      <c r="G77">
        <f t="shared" si="18"/>
        <v>0.12</v>
      </c>
      <c r="H77">
        <f t="shared" si="19"/>
        <v>0.09</v>
      </c>
      <c r="I77">
        <f t="shared" si="20"/>
        <v>0.06</v>
      </c>
      <c r="J77">
        <f t="shared" si="21"/>
        <v>0.03</v>
      </c>
      <c r="K77">
        <f t="shared" si="22"/>
        <v>0</v>
      </c>
      <c r="L77">
        <f t="shared" si="23"/>
        <v>-0.03</v>
      </c>
      <c r="M77">
        <f t="shared" si="24"/>
        <v>-0.06</v>
      </c>
      <c r="N77">
        <f t="shared" si="25"/>
        <v>-0.09</v>
      </c>
      <c r="O77">
        <f t="shared" si="26"/>
        <v>-0.12</v>
      </c>
      <c r="P77">
        <f t="shared" si="27"/>
        <v>-0.15</v>
      </c>
    </row>
    <row r="78" spans="1:16" x14ac:dyDescent="0.3">
      <c r="A78" s="6">
        <v>46068</v>
      </c>
      <c r="B78" s="8">
        <f t="shared" si="14"/>
        <v>46</v>
      </c>
      <c r="C78" s="8">
        <f t="shared" si="15"/>
        <v>52</v>
      </c>
      <c r="D78" s="7">
        <f t="shared" si="16"/>
        <v>-0.15</v>
      </c>
      <c r="F78">
        <f t="shared" si="17"/>
        <v>0.15</v>
      </c>
      <c r="G78">
        <f t="shared" si="18"/>
        <v>0.12</v>
      </c>
      <c r="H78">
        <f t="shared" si="19"/>
        <v>0.09</v>
      </c>
      <c r="I78">
        <f t="shared" si="20"/>
        <v>0.06</v>
      </c>
      <c r="J78">
        <f t="shared" si="21"/>
        <v>0.03</v>
      </c>
      <c r="K78">
        <f t="shared" si="22"/>
        <v>0</v>
      </c>
      <c r="L78">
        <f t="shared" si="23"/>
        <v>-0.03</v>
      </c>
      <c r="M78">
        <f t="shared" si="24"/>
        <v>-0.06</v>
      </c>
      <c r="N78">
        <f t="shared" si="25"/>
        <v>-0.09</v>
      </c>
      <c r="O78">
        <f t="shared" si="26"/>
        <v>-0.12</v>
      </c>
      <c r="P78">
        <f t="shared" si="27"/>
        <v>-0.15</v>
      </c>
    </row>
    <row r="79" spans="1:16" x14ac:dyDescent="0.3">
      <c r="A79" s="6">
        <v>46069</v>
      </c>
      <c r="B79" s="8">
        <f t="shared" si="14"/>
        <v>47</v>
      </c>
      <c r="C79" s="8">
        <f t="shared" si="15"/>
        <v>53</v>
      </c>
      <c r="D79" s="7">
        <f t="shared" si="16"/>
        <v>-0.15</v>
      </c>
      <c r="F79">
        <f t="shared" si="17"/>
        <v>0.15</v>
      </c>
      <c r="G79">
        <f t="shared" si="18"/>
        <v>0.12</v>
      </c>
      <c r="H79">
        <f t="shared" si="19"/>
        <v>0.09</v>
      </c>
      <c r="I79">
        <f t="shared" si="20"/>
        <v>0.06</v>
      </c>
      <c r="J79">
        <f t="shared" si="21"/>
        <v>0.03</v>
      </c>
      <c r="K79">
        <f t="shared" si="22"/>
        <v>0</v>
      </c>
      <c r="L79">
        <f t="shared" si="23"/>
        <v>-0.03</v>
      </c>
      <c r="M79">
        <f t="shared" si="24"/>
        <v>-0.06</v>
      </c>
      <c r="N79">
        <f t="shared" si="25"/>
        <v>-0.09</v>
      </c>
      <c r="O79">
        <f t="shared" si="26"/>
        <v>-0.12</v>
      </c>
      <c r="P79">
        <f t="shared" si="27"/>
        <v>-0.15</v>
      </c>
    </row>
    <row r="80" spans="1:16" x14ac:dyDescent="0.3">
      <c r="A80" s="6">
        <v>46070</v>
      </c>
      <c r="B80" s="8">
        <f t="shared" si="14"/>
        <v>48</v>
      </c>
      <c r="C80" s="8">
        <f t="shared" si="15"/>
        <v>54</v>
      </c>
      <c r="D80" s="7">
        <f t="shared" si="16"/>
        <v>-0.15</v>
      </c>
      <c r="F80">
        <f t="shared" si="17"/>
        <v>0.15</v>
      </c>
      <c r="G80">
        <f t="shared" si="18"/>
        <v>0.12</v>
      </c>
      <c r="H80">
        <f t="shared" si="19"/>
        <v>0.09</v>
      </c>
      <c r="I80">
        <f t="shared" si="20"/>
        <v>0.06</v>
      </c>
      <c r="J80">
        <f t="shared" si="21"/>
        <v>0.03</v>
      </c>
      <c r="K80">
        <f t="shared" si="22"/>
        <v>0</v>
      </c>
      <c r="L80">
        <f t="shared" si="23"/>
        <v>-0.03</v>
      </c>
      <c r="M80">
        <f t="shared" si="24"/>
        <v>-0.06</v>
      </c>
      <c r="N80">
        <f t="shared" si="25"/>
        <v>-0.09</v>
      </c>
      <c r="O80">
        <f t="shared" si="26"/>
        <v>-0.12</v>
      </c>
      <c r="P80">
        <f t="shared" si="27"/>
        <v>-0.15</v>
      </c>
    </row>
    <row r="81" spans="1:16" x14ac:dyDescent="0.3">
      <c r="A81" s="6">
        <v>46071</v>
      </c>
      <c r="B81" s="8">
        <f t="shared" si="14"/>
        <v>49</v>
      </c>
      <c r="C81" s="8">
        <f t="shared" si="15"/>
        <v>55</v>
      </c>
      <c r="D81" s="7">
        <f t="shared" si="16"/>
        <v>-0.15</v>
      </c>
      <c r="F81">
        <f t="shared" si="17"/>
        <v>0.15</v>
      </c>
      <c r="G81">
        <f t="shared" si="18"/>
        <v>0.12</v>
      </c>
      <c r="H81">
        <f t="shared" si="19"/>
        <v>0.09</v>
      </c>
      <c r="I81">
        <f t="shared" si="20"/>
        <v>0.06</v>
      </c>
      <c r="J81">
        <f t="shared" si="21"/>
        <v>0.03</v>
      </c>
      <c r="K81">
        <f t="shared" si="22"/>
        <v>0</v>
      </c>
      <c r="L81">
        <f t="shared" si="23"/>
        <v>-0.03</v>
      </c>
      <c r="M81">
        <f t="shared" si="24"/>
        <v>-0.06</v>
      </c>
      <c r="N81">
        <f t="shared" si="25"/>
        <v>-0.09</v>
      </c>
      <c r="O81">
        <f t="shared" si="26"/>
        <v>-0.12</v>
      </c>
      <c r="P81">
        <f t="shared" si="27"/>
        <v>-0.15</v>
      </c>
    </row>
    <row r="82" spans="1:16" x14ac:dyDescent="0.3">
      <c r="A82" s="6">
        <v>46072</v>
      </c>
      <c r="B82" s="8">
        <f t="shared" si="14"/>
        <v>50</v>
      </c>
      <c r="C82" s="8">
        <f t="shared" si="15"/>
        <v>56</v>
      </c>
      <c r="D82" s="7">
        <f t="shared" si="16"/>
        <v>-0.15</v>
      </c>
      <c r="F82">
        <f t="shared" si="17"/>
        <v>0.15</v>
      </c>
      <c r="G82">
        <f t="shared" si="18"/>
        <v>0.12</v>
      </c>
      <c r="H82">
        <f t="shared" si="19"/>
        <v>0.09</v>
      </c>
      <c r="I82">
        <f t="shared" si="20"/>
        <v>0.06</v>
      </c>
      <c r="J82">
        <f t="shared" si="21"/>
        <v>0.03</v>
      </c>
      <c r="K82">
        <f t="shared" si="22"/>
        <v>0</v>
      </c>
      <c r="L82">
        <f t="shared" si="23"/>
        <v>-0.03</v>
      </c>
      <c r="M82">
        <f t="shared" si="24"/>
        <v>-0.06</v>
      </c>
      <c r="N82">
        <f t="shared" si="25"/>
        <v>-0.09</v>
      </c>
      <c r="O82">
        <f t="shared" si="26"/>
        <v>-0.12</v>
      </c>
      <c r="P82">
        <f t="shared" si="27"/>
        <v>-0.15</v>
      </c>
    </row>
    <row r="83" spans="1:16" x14ac:dyDescent="0.3">
      <c r="A83" s="6">
        <v>46073</v>
      </c>
      <c r="B83" s="8">
        <f t="shared" si="14"/>
        <v>51</v>
      </c>
      <c r="C83" s="8">
        <f t="shared" si="15"/>
        <v>57</v>
      </c>
      <c r="D83" s="7">
        <f t="shared" si="16"/>
        <v>-0.15</v>
      </c>
      <c r="F83">
        <f t="shared" si="17"/>
        <v>0.15</v>
      </c>
      <c r="G83">
        <f t="shared" si="18"/>
        <v>0.12</v>
      </c>
      <c r="H83">
        <f t="shared" si="19"/>
        <v>0.09</v>
      </c>
      <c r="I83">
        <f t="shared" si="20"/>
        <v>0.06</v>
      </c>
      <c r="J83">
        <f t="shared" si="21"/>
        <v>0.03</v>
      </c>
      <c r="K83">
        <f t="shared" si="22"/>
        <v>0</v>
      </c>
      <c r="L83">
        <f t="shared" si="23"/>
        <v>-0.03</v>
      </c>
      <c r="M83">
        <f t="shared" si="24"/>
        <v>-0.06</v>
      </c>
      <c r="N83">
        <f t="shared" si="25"/>
        <v>-0.09</v>
      </c>
      <c r="O83">
        <f t="shared" si="26"/>
        <v>-0.12</v>
      </c>
      <c r="P83">
        <f t="shared" si="27"/>
        <v>-0.15</v>
      </c>
    </row>
    <row r="84" spans="1:16" x14ac:dyDescent="0.3">
      <c r="A84" s="6">
        <v>46074</v>
      </c>
      <c r="B84" s="8">
        <f t="shared" si="14"/>
        <v>52</v>
      </c>
      <c r="C84" s="8">
        <f t="shared" si="15"/>
        <v>58</v>
      </c>
      <c r="D84" s="7">
        <f t="shared" si="16"/>
        <v>-0.15</v>
      </c>
      <c r="F84">
        <f t="shared" si="17"/>
        <v>0.15</v>
      </c>
      <c r="G84">
        <f t="shared" si="18"/>
        <v>0.12</v>
      </c>
      <c r="H84">
        <f t="shared" si="19"/>
        <v>0.09</v>
      </c>
      <c r="I84">
        <f t="shared" si="20"/>
        <v>0.06</v>
      </c>
      <c r="J84">
        <f t="shared" si="21"/>
        <v>0.03</v>
      </c>
      <c r="K84">
        <f t="shared" si="22"/>
        <v>0</v>
      </c>
      <c r="L84">
        <f t="shared" si="23"/>
        <v>-0.03</v>
      </c>
      <c r="M84">
        <f t="shared" si="24"/>
        <v>-0.06</v>
      </c>
      <c r="N84">
        <f t="shared" si="25"/>
        <v>-0.09</v>
      </c>
      <c r="O84">
        <f t="shared" si="26"/>
        <v>-0.12</v>
      </c>
      <c r="P84">
        <f t="shared" si="27"/>
        <v>-0.15</v>
      </c>
    </row>
    <row r="85" spans="1:16" x14ac:dyDescent="0.3">
      <c r="A85" s="6">
        <v>46075</v>
      </c>
      <c r="B85" s="8">
        <f t="shared" si="14"/>
        <v>53</v>
      </c>
      <c r="C85" s="8">
        <f t="shared" si="15"/>
        <v>59</v>
      </c>
      <c r="D85" s="7">
        <f t="shared" si="16"/>
        <v>-0.15</v>
      </c>
      <c r="F85">
        <f t="shared" si="17"/>
        <v>0.15</v>
      </c>
      <c r="G85">
        <f t="shared" si="18"/>
        <v>0.12</v>
      </c>
      <c r="H85">
        <f t="shared" si="19"/>
        <v>0.09</v>
      </c>
      <c r="I85">
        <f t="shared" si="20"/>
        <v>0.06</v>
      </c>
      <c r="J85">
        <f t="shared" si="21"/>
        <v>0.03</v>
      </c>
      <c r="K85">
        <f t="shared" si="22"/>
        <v>0</v>
      </c>
      <c r="L85">
        <f t="shared" si="23"/>
        <v>-0.03</v>
      </c>
      <c r="M85">
        <f t="shared" si="24"/>
        <v>-0.06</v>
      </c>
      <c r="N85">
        <f t="shared" si="25"/>
        <v>-0.09</v>
      </c>
      <c r="O85">
        <f t="shared" si="26"/>
        <v>-0.12</v>
      </c>
      <c r="P85">
        <f t="shared" si="27"/>
        <v>-0.15</v>
      </c>
    </row>
    <row r="86" spans="1:16" x14ac:dyDescent="0.3">
      <c r="A86" s="6">
        <v>46076</v>
      </c>
      <c r="B86" s="8">
        <f t="shared" si="14"/>
        <v>54</v>
      </c>
      <c r="C86" s="8">
        <f t="shared" si="15"/>
        <v>60</v>
      </c>
      <c r="D86" s="7">
        <f t="shared" si="16"/>
        <v>-0.15</v>
      </c>
      <c r="F86">
        <f t="shared" si="17"/>
        <v>0.15</v>
      </c>
      <c r="G86">
        <f t="shared" si="18"/>
        <v>0.12</v>
      </c>
      <c r="H86">
        <f t="shared" si="19"/>
        <v>0.09</v>
      </c>
      <c r="I86">
        <f t="shared" si="20"/>
        <v>0.06</v>
      </c>
      <c r="J86">
        <f t="shared" si="21"/>
        <v>0.03</v>
      </c>
      <c r="K86">
        <f t="shared" si="22"/>
        <v>0</v>
      </c>
      <c r="L86">
        <f t="shared" si="23"/>
        <v>-0.03</v>
      </c>
      <c r="M86">
        <f t="shared" si="24"/>
        <v>-0.06</v>
      </c>
      <c r="N86">
        <f t="shared" si="25"/>
        <v>-0.09</v>
      </c>
      <c r="O86">
        <f t="shared" si="26"/>
        <v>-0.12</v>
      </c>
      <c r="P86">
        <f t="shared" si="27"/>
        <v>-0.15</v>
      </c>
    </row>
    <row r="87" spans="1:16" x14ac:dyDescent="0.3">
      <c r="A87" s="6">
        <v>46077</v>
      </c>
      <c r="B87" s="8">
        <f t="shared" si="14"/>
        <v>55</v>
      </c>
      <c r="C87" s="8">
        <f t="shared" si="15"/>
        <v>61</v>
      </c>
      <c r="D87" s="7">
        <f t="shared" si="16"/>
        <v>-0.15</v>
      </c>
      <c r="F87">
        <f t="shared" si="17"/>
        <v>0.15</v>
      </c>
      <c r="G87">
        <f t="shared" si="18"/>
        <v>0.12</v>
      </c>
      <c r="H87">
        <f t="shared" si="19"/>
        <v>0.09</v>
      </c>
      <c r="I87">
        <f t="shared" si="20"/>
        <v>0.06</v>
      </c>
      <c r="J87">
        <f t="shared" si="21"/>
        <v>0.03</v>
      </c>
      <c r="K87">
        <f t="shared" si="22"/>
        <v>0</v>
      </c>
      <c r="L87">
        <f t="shared" si="23"/>
        <v>-0.03</v>
      </c>
      <c r="M87">
        <f t="shared" si="24"/>
        <v>-0.06</v>
      </c>
      <c r="N87">
        <f t="shared" si="25"/>
        <v>-0.09</v>
      </c>
      <c r="O87">
        <f t="shared" si="26"/>
        <v>-0.12</v>
      </c>
      <c r="P87">
        <f t="shared" si="27"/>
        <v>-0.15</v>
      </c>
    </row>
    <row r="88" spans="1:16" x14ac:dyDescent="0.3">
      <c r="A88" s="6">
        <v>46078</v>
      </c>
      <c r="B88" s="8">
        <f t="shared" si="14"/>
        <v>56</v>
      </c>
      <c r="C88" s="8">
        <f t="shared" si="15"/>
        <v>62</v>
      </c>
      <c r="D88" s="7">
        <f t="shared" si="16"/>
        <v>-0.15</v>
      </c>
      <c r="F88">
        <f t="shared" si="17"/>
        <v>0.15</v>
      </c>
      <c r="G88">
        <f t="shared" si="18"/>
        <v>0.12</v>
      </c>
      <c r="H88">
        <f t="shared" si="19"/>
        <v>0.09</v>
      </c>
      <c r="I88">
        <f t="shared" si="20"/>
        <v>0.06</v>
      </c>
      <c r="J88">
        <f t="shared" si="21"/>
        <v>0.03</v>
      </c>
      <c r="K88">
        <f t="shared" si="22"/>
        <v>0</v>
      </c>
      <c r="L88">
        <f t="shared" si="23"/>
        <v>-0.03</v>
      </c>
      <c r="M88">
        <f t="shared" si="24"/>
        <v>-0.06</v>
      </c>
      <c r="N88">
        <f t="shared" si="25"/>
        <v>-0.09</v>
      </c>
      <c r="O88">
        <f t="shared" si="26"/>
        <v>-0.12</v>
      </c>
      <c r="P88">
        <f t="shared" si="27"/>
        <v>-0.15</v>
      </c>
    </row>
    <row r="89" spans="1:16" x14ac:dyDescent="0.3">
      <c r="A89" s="6">
        <v>46079</v>
      </c>
      <c r="B89" s="8">
        <f t="shared" si="14"/>
        <v>57</v>
      </c>
      <c r="C89" s="8">
        <f t="shared" si="15"/>
        <v>63</v>
      </c>
      <c r="D89" s="7">
        <f t="shared" si="16"/>
        <v>-0.15</v>
      </c>
      <c r="F89">
        <f t="shared" si="17"/>
        <v>0.15</v>
      </c>
      <c r="G89">
        <f t="shared" si="18"/>
        <v>0.12</v>
      </c>
      <c r="H89">
        <f t="shared" si="19"/>
        <v>0.09</v>
      </c>
      <c r="I89">
        <f t="shared" si="20"/>
        <v>0.06</v>
      </c>
      <c r="J89">
        <f t="shared" si="21"/>
        <v>0.03</v>
      </c>
      <c r="K89">
        <f t="shared" si="22"/>
        <v>0</v>
      </c>
      <c r="L89">
        <f t="shared" si="23"/>
        <v>-0.03</v>
      </c>
      <c r="M89">
        <f t="shared" si="24"/>
        <v>-0.06</v>
      </c>
      <c r="N89">
        <f t="shared" si="25"/>
        <v>-0.09</v>
      </c>
      <c r="O89">
        <f t="shared" si="26"/>
        <v>-0.12</v>
      </c>
      <c r="P89">
        <f t="shared" si="27"/>
        <v>-0.15</v>
      </c>
    </row>
    <row r="90" spans="1:16" x14ac:dyDescent="0.3">
      <c r="A90" s="6">
        <v>46080</v>
      </c>
      <c r="B90" s="8">
        <f t="shared" si="14"/>
        <v>58</v>
      </c>
      <c r="C90" s="8">
        <f t="shared" si="15"/>
        <v>64</v>
      </c>
      <c r="D90" s="7">
        <f t="shared" si="16"/>
        <v>-0.15</v>
      </c>
      <c r="F90">
        <f t="shared" si="17"/>
        <v>0.15</v>
      </c>
      <c r="G90">
        <f t="shared" si="18"/>
        <v>0.12</v>
      </c>
      <c r="H90">
        <f t="shared" si="19"/>
        <v>0.09</v>
      </c>
      <c r="I90">
        <f t="shared" si="20"/>
        <v>0.06</v>
      </c>
      <c r="J90">
        <f t="shared" si="21"/>
        <v>0.03</v>
      </c>
      <c r="K90">
        <f t="shared" si="22"/>
        <v>0</v>
      </c>
      <c r="L90">
        <f t="shared" si="23"/>
        <v>-0.03</v>
      </c>
      <c r="M90">
        <f t="shared" si="24"/>
        <v>-0.06</v>
      </c>
      <c r="N90">
        <f t="shared" si="25"/>
        <v>-0.09</v>
      </c>
      <c r="O90">
        <f t="shared" si="26"/>
        <v>-0.12</v>
      </c>
      <c r="P90">
        <f t="shared" si="27"/>
        <v>-0.15</v>
      </c>
    </row>
    <row r="91" spans="1:16" x14ac:dyDescent="0.3">
      <c r="A91" s="6">
        <v>46081</v>
      </c>
      <c r="B91" s="8">
        <f t="shared" si="14"/>
        <v>59</v>
      </c>
      <c r="C91" s="8">
        <f t="shared" si="15"/>
        <v>65</v>
      </c>
      <c r="D91" s="7">
        <f t="shared" si="16"/>
        <v>-0.15</v>
      </c>
      <c r="F91">
        <f t="shared" si="17"/>
        <v>0.15</v>
      </c>
      <c r="G91">
        <f t="shared" si="18"/>
        <v>0.12</v>
      </c>
      <c r="H91">
        <f t="shared" si="19"/>
        <v>0.09</v>
      </c>
      <c r="I91">
        <f t="shared" si="20"/>
        <v>0.06</v>
      </c>
      <c r="J91">
        <f t="shared" si="21"/>
        <v>0.03</v>
      </c>
      <c r="K91">
        <f t="shared" si="22"/>
        <v>0</v>
      </c>
      <c r="L91">
        <f t="shared" si="23"/>
        <v>-0.03</v>
      </c>
      <c r="M91">
        <f t="shared" si="24"/>
        <v>-0.06</v>
      </c>
      <c r="N91">
        <f t="shared" si="25"/>
        <v>-0.09</v>
      </c>
      <c r="O91">
        <f t="shared" si="26"/>
        <v>-0.12</v>
      </c>
      <c r="P91">
        <f t="shared" si="27"/>
        <v>-0.15</v>
      </c>
    </row>
    <row r="92" spans="1:16" x14ac:dyDescent="0.3">
      <c r="A92" s="6">
        <v>46082</v>
      </c>
      <c r="B92" s="8">
        <f t="shared" si="14"/>
        <v>60</v>
      </c>
      <c r="C92" s="8">
        <f t="shared" si="15"/>
        <v>66</v>
      </c>
      <c r="D92" s="7">
        <f t="shared" si="16"/>
        <v>-0.15</v>
      </c>
      <c r="F92">
        <f t="shared" si="17"/>
        <v>0.15</v>
      </c>
      <c r="G92">
        <f t="shared" si="18"/>
        <v>0.12</v>
      </c>
      <c r="H92">
        <f t="shared" si="19"/>
        <v>0.09</v>
      </c>
      <c r="I92">
        <f t="shared" si="20"/>
        <v>0.06</v>
      </c>
      <c r="J92">
        <f t="shared" si="21"/>
        <v>0.03</v>
      </c>
      <c r="K92">
        <f t="shared" si="22"/>
        <v>0</v>
      </c>
      <c r="L92">
        <f t="shared" si="23"/>
        <v>-0.03</v>
      </c>
      <c r="M92">
        <f t="shared" si="24"/>
        <v>-0.06</v>
      </c>
      <c r="N92">
        <f t="shared" si="25"/>
        <v>-0.09</v>
      </c>
      <c r="O92">
        <f t="shared" si="26"/>
        <v>-0.12</v>
      </c>
      <c r="P92">
        <f t="shared" si="27"/>
        <v>-0.15</v>
      </c>
    </row>
    <row r="93" spans="1:16" x14ac:dyDescent="0.3">
      <c r="A93" s="6">
        <v>46083</v>
      </c>
      <c r="B93" s="8">
        <f t="shared" si="14"/>
        <v>61</v>
      </c>
      <c r="C93" s="8">
        <f t="shared" si="15"/>
        <v>67</v>
      </c>
      <c r="D93" s="7">
        <f t="shared" si="16"/>
        <v>-0.15</v>
      </c>
      <c r="F93">
        <f t="shared" si="17"/>
        <v>0.15</v>
      </c>
      <c r="G93">
        <f t="shared" si="18"/>
        <v>0.12</v>
      </c>
      <c r="H93">
        <f t="shared" si="19"/>
        <v>0.09</v>
      </c>
      <c r="I93">
        <f t="shared" si="20"/>
        <v>0.06</v>
      </c>
      <c r="J93">
        <f t="shared" si="21"/>
        <v>0.03</v>
      </c>
      <c r="K93">
        <f t="shared" si="22"/>
        <v>0</v>
      </c>
      <c r="L93">
        <f t="shared" si="23"/>
        <v>-0.03</v>
      </c>
      <c r="M93">
        <f t="shared" si="24"/>
        <v>-0.06</v>
      </c>
      <c r="N93">
        <f t="shared" si="25"/>
        <v>-0.09</v>
      </c>
      <c r="O93">
        <f t="shared" si="26"/>
        <v>-0.12</v>
      </c>
      <c r="P93">
        <f t="shared" si="27"/>
        <v>-0.15</v>
      </c>
    </row>
    <row r="94" spans="1:16" x14ac:dyDescent="0.3">
      <c r="A94" s="6">
        <v>46084</v>
      </c>
      <c r="B94" s="8">
        <f t="shared" si="14"/>
        <v>62</v>
      </c>
      <c r="C94" s="8">
        <f t="shared" si="15"/>
        <v>68</v>
      </c>
      <c r="D94" s="7">
        <f t="shared" si="16"/>
        <v>-0.15</v>
      </c>
      <c r="F94">
        <f t="shared" si="17"/>
        <v>0.15</v>
      </c>
      <c r="G94">
        <f t="shared" si="18"/>
        <v>0.12</v>
      </c>
      <c r="H94">
        <f t="shared" si="19"/>
        <v>0.09</v>
      </c>
      <c r="I94">
        <f t="shared" si="20"/>
        <v>0.06</v>
      </c>
      <c r="J94">
        <f t="shared" si="21"/>
        <v>0.03</v>
      </c>
      <c r="K94">
        <f t="shared" si="22"/>
        <v>0</v>
      </c>
      <c r="L94">
        <f t="shared" si="23"/>
        <v>-0.03</v>
      </c>
      <c r="M94">
        <f t="shared" si="24"/>
        <v>-0.06</v>
      </c>
      <c r="N94">
        <f t="shared" si="25"/>
        <v>-0.09</v>
      </c>
      <c r="O94">
        <f t="shared" si="26"/>
        <v>-0.12</v>
      </c>
      <c r="P94">
        <f t="shared" si="27"/>
        <v>-0.15</v>
      </c>
    </row>
    <row r="95" spans="1:16" x14ac:dyDescent="0.3">
      <c r="A95" s="6">
        <v>46085</v>
      </c>
      <c r="B95" s="8">
        <f t="shared" si="14"/>
        <v>63</v>
      </c>
      <c r="C95" s="8">
        <f t="shared" si="15"/>
        <v>69</v>
      </c>
      <c r="D95" s="7">
        <f t="shared" si="16"/>
        <v>-0.15</v>
      </c>
      <c r="F95">
        <f t="shared" si="17"/>
        <v>0.15</v>
      </c>
      <c r="G95">
        <f t="shared" si="18"/>
        <v>0.12</v>
      </c>
      <c r="H95">
        <f t="shared" si="19"/>
        <v>0.09</v>
      </c>
      <c r="I95">
        <f t="shared" si="20"/>
        <v>0.06</v>
      </c>
      <c r="J95">
        <f t="shared" si="21"/>
        <v>0.03</v>
      </c>
      <c r="K95">
        <f t="shared" si="22"/>
        <v>0</v>
      </c>
      <c r="L95">
        <f t="shared" si="23"/>
        <v>-0.03</v>
      </c>
      <c r="M95">
        <f t="shared" si="24"/>
        <v>-0.06</v>
      </c>
      <c r="N95">
        <f t="shared" si="25"/>
        <v>-0.09</v>
      </c>
      <c r="O95">
        <f t="shared" si="26"/>
        <v>-0.12</v>
      </c>
      <c r="P95">
        <f t="shared" si="27"/>
        <v>-0.15</v>
      </c>
    </row>
    <row r="96" spans="1:16" x14ac:dyDescent="0.3">
      <c r="A96" s="6">
        <v>46086</v>
      </c>
      <c r="B96" s="8">
        <f t="shared" si="14"/>
        <v>64</v>
      </c>
      <c r="C96" s="8">
        <f t="shared" si="15"/>
        <v>70</v>
      </c>
      <c r="D96" s="7">
        <f t="shared" si="16"/>
        <v>-0.15</v>
      </c>
      <c r="F96">
        <f t="shared" si="17"/>
        <v>0.15</v>
      </c>
      <c r="G96">
        <f t="shared" si="18"/>
        <v>0.12</v>
      </c>
      <c r="H96">
        <f t="shared" si="19"/>
        <v>0.09</v>
      </c>
      <c r="I96">
        <f t="shared" si="20"/>
        <v>0.06</v>
      </c>
      <c r="J96">
        <f t="shared" si="21"/>
        <v>0.03</v>
      </c>
      <c r="K96">
        <f t="shared" si="22"/>
        <v>0</v>
      </c>
      <c r="L96">
        <f t="shared" si="23"/>
        <v>-0.03</v>
      </c>
      <c r="M96">
        <f t="shared" si="24"/>
        <v>-0.06</v>
      </c>
      <c r="N96">
        <f t="shared" si="25"/>
        <v>-0.09</v>
      </c>
      <c r="O96">
        <f t="shared" si="26"/>
        <v>-0.12</v>
      </c>
      <c r="P96">
        <f t="shared" si="27"/>
        <v>-0.15</v>
      </c>
    </row>
    <row r="97" spans="1:16" x14ac:dyDescent="0.3">
      <c r="A97" s="6">
        <v>46087</v>
      </c>
      <c r="B97" s="8">
        <f t="shared" si="14"/>
        <v>65</v>
      </c>
      <c r="C97" s="8">
        <f t="shared" si="15"/>
        <v>71</v>
      </c>
      <c r="D97" s="7">
        <f t="shared" si="16"/>
        <v>-0.15</v>
      </c>
      <c r="F97">
        <f t="shared" si="17"/>
        <v>0.15</v>
      </c>
      <c r="G97">
        <f t="shared" si="18"/>
        <v>0.12</v>
      </c>
      <c r="H97">
        <f t="shared" si="19"/>
        <v>0.09</v>
      </c>
      <c r="I97">
        <f t="shared" si="20"/>
        <v>0.06</v>
      </c>
      <c r="J97">
        <f t="shared" si="21"/>
        <v>0.03</v>
      </c>
      <c r="K97">
        <f t="shared" si="22"/>
        <v>0</v>
      </c>
      <c r="L97">
        <f t="shared" si="23"/>
        <v>-0.03</v>
      </c>
      <c r="M97">
        <f t="shared" si="24"/>
        <v>-0.06</v>
      </c>
      <c r="N97">
        <f t="shared" si="25"/>
        <v>-0.09</v>
      </c>
      <c r="O97">
        <f t="shared" si="26"/>
        <v>-0.12</v>
      </c>
      <c r="P97">
        <f t="shared" si="27"/>
        <v>-0.15</v>
      </c>
    </row>
    <row r="98" spans="1:16" x14ac:dyDescent="0.3">
      <c r="A98" s="6">
        <v>46088</v>
      </c>
      <c r="B98" s="8">
        <f t="shared" si="14"/>
        <v>66</v>
      </c>
      <c r="C98" s="8">
        <f t="shared" si="15"/>
        <v>72</v>
      </c>
      <c r="D98" s="7">
        <f t="shared" si="16"/>
        <v>-0.15</v>
      </c>
      <c r="F98">
        <f t="shared" si="17"/>
        <v>0.15</v>
      </c>
      <c r="G98">
        <f t="shared" si="18"/>
        <v>0.12</v>
      </c>
      <c r="H98">
        <f t="shared" si="19"/>
        <v>0.09</v>
      </c>
      <c r="I98">
        <f t="shared" si="20"/>
        <v>0.06</v>
      </c>
      <c r="J98">
        <f t="shared" si="21"/>
        <v>0.03</v>
      </c>
      <c r="K98">
        <f t="shared" si="22"/>
        <v>0</v>
      </c>
      <c r="L98">
        <f t="shared" si="23"/>
        <v>-0.03</v>
      </c>
      <c r="M98">
        <f t="shared" si="24"/>
        <v>-0.06</v>
      </c>
      <c r="N98">
        <f t="shared" si="25"/>
        <v>-0.09</v>
      </c>
      <c r="O98">
        <f t="shared" si="26"/>
        <v>-0.12</v>
      </c>
      <c r="P98">
        <f t="shared" si="27"/>
        <v>-0.15</v>
      </c>
    </row>
    <row r="99" spans="1:16" x14ac:dyDescent="0.3">
      <c r="A99" s="6">
        <v>46089</v>
      </c>
      <c r="B99" s="8">
        <f t="shared" si="14"/>
        <v>67</v>
      </c>
      <c r="C99" s="8">
        <f t="shared" si="15"/>
        <v>73</v>
      </c>
      <c r="D99" s="7">
        <f t="shared" si="16"/>
        <v>-0.15</v>
      </c>
      <c r="F99">
        <f t="shared" si="17"/>
        <v>0.15</v>
      </c>
      <c r="G99">
        <f t="shared" si="18"/>
        <v>0.12</v>
      </c>
      <c r="H99">
        <f t="shared" si="19"/>
        <v>0.09</v>
      </c>
      <c r="I99">
        <f t="shared" si="20"/>
        <v>0.06</v>
      </c>
      <c r="J99">
        <f t="shared" si="21"/>
        <v>0.03</v>
      </c>
      <c r="K99">
        <f t="shared" si="22"/>
        <v>0</v>
      </c>
      <c r="L99">
        <f t="shared" si="23"/>
        <v>-0.03</v>
      </c>
      <c r="M99">
        <f t="shared" si="24"/>
        <v>-0.06</v>
      </c>
      <c r="N99">
        <f t="shared" si="25"/>
        <v>-0.09</v>
      </c>
      <c r="O99">
        <f t="shared" si="26"/>
        <v>-0.12</v>
      </c>
      <c r="P99">
        <f t="shared" si="27"/>
        <v>-0.15</v>
      </c>
    </row>
    <row r="100" spans="1:16" x14ac:dyDescent="0.3">
      <c r="A100" s="6">
        <v>46090</v>
      </c>
      <c r="B100" s="8">
        <f t="shared" si="14"/>
        <v>68</v>
      </c>
      <c r="C100" s="8">
        <f t="shared" si="15"/>
        <v>74</v>
      </c>
      <c r="D100" s="7">
        <f t="shared" si="16"/>
        <v>-0.15</v>
      </c>
      <c r="F100">
        <f t="shared" si="17"/>
        <v>0.15</v>
      </c>
      <c r="G100">
        <f t="shared" si="18"/>
        <v>0.12</v>
      </c>
      <c r="H100">
        <f t="shared" si="19"/>
        <v>0.09</v>
      </c>
      <c r="I100">
        <f t="shared" si="20"/>
        <v>0.06</v>
      </c>
      <c r="J100">
        <f t="shared" si="21"/>
        <v>0.03</v>
      </c>
      <c r="K100">
        <f t="shared" si="22"/>
        <v>0</v>
      </c>
      <c r="L100">
        <f t="shared" si="23"/>
        <v>-0.03</v>
      </c>
      <c r="M100">
        <f t="shared" si="24"/>
        <v>-0.06</v>
      </c>
      <c r="N100">
        <f t="shared" si="25"/>
        <v>-0.09</v>
      </c>
      <c r="O100">
        <f t="shared" si="26"/>
        <v>-0.12</v>
      </c>
      <c r="P100">
        <f t="shared" si="27"/>
        <v>-0.15</v>
      </c>
    </row>
    <row r="101" spans="1:16" x14ac:dyDescent="0.3">
      <c r="A101" s="6">
        <v>46091</v>
      </c>
      <c r="B101" s="8">
        <f t="shared" si="14"/>
        <v>69</v>
      </c>
      <c r="C101" s="8">
        <f t="shared" si="15"/>
        <v>75</v>
      </c>
      <c r="D101" s="7">
        <f t="shared" si="16"/>
        <v>-0.15</v>
      </c>
      <c r="F101">
        <f t="shared" si="17"/>
        <v>0.15</v>
      </c>
      <c r="G101">
        <f t="shared" si="18"/>
        <v>0.12</v>
      </c>
      <c r="H101">
        <f t="shared" si="19"/>
        <v>0.09</v>
      </c>
      <c r="I101">
        <f t="shared" si="20"/>
        <v>0.06</v>
      </c>
      <c r="J101">
        <f t="shared" si="21"/>
        <v>0.03</v>
      </c>
      <c r="K101">
        <f t="shared" si="22"/>
        <v>0</v>
      </c>
      <c r="L101">
        <f t="shared" si="23"/>
        <v>-0.03</v>
      </c>
      <c r="M101">
        <f t="shared" si="24"/>
        <v>-0.06</v>
      </c>
      <c r="N101">
        <f t="shared" si="25"/>
        <v>-0.09</v>
      </c>
      <c r="O101">
        <f t="shared" si="26"/>
        <v>-0.12</v>
      </c>
      <c r="P101">
        <f t="shared" si="27"/>
        <v>-0.15</v>
      </c>
    </row>
    <row r="102" spans="1:16" x14ac:dyDescent="0.3">
      <c r="A102" s="6">
        <v>46092</v>
      </c>
      <c r="B102" s="8">
        <f t="shared" si="14"/>
        <v>70</v>
      </c>
      <c r="C102" s="8">
        <f t="shared" si="15"/>
        <v>76</v>
      </c>
      <c r="D102" s="7">
        <f t="shared" si="16"/>
        <v>-0.15</v>
      </c>
      <c r="F102">
        <f t="shared" si="17"/>
        <v>0.15</v>
      </c>
      <c r="G102">
        <f t="shared" si="18"/>
        <v>0.12</v>
      </c>
      <c r="H102">
        <f t="shared" si="19"/>
        <v>0.09</v>
      </c>
      <c r="I102">
        <f t="shared" si="20"/>
        <v>0.06</v>
      </c>
      <c r="J102">
        <f t="shared" si="21"/>
        <v>0.03</v>
      </c>
      <c r="K102">
        <f t="shared" si="22"/>
        <v>0</v>
      </c>
      <c r="L102">
        <f t="shared" si="23"/>
        <v>-0.03</v>
      </c>
      <c r="M102">
        <f t="shared" si="24"/>
        <v>-0.06</v>
      </c>
      <c r="N102">
        <f t="shared" si="25"/>
        <v>-0.09</v>
      </c>
      <c r="O102">
        <f t="shared" si="26"/>
        <v>-0.12</v>
      </c>
      <c r="P102">
        <f t="shared" si="27"/>
        <v>-0.15</v>
      </c>
    </row>
    <row r="103" spans="1:16" x14ac:dyDescent="0.3">
      <c r="A103" s="6">
        <v>46093</v>
      </c>
      <c r="B103" s="8">
        <f t="shared" si="14"/>
        <v>71</v>
      </c>
      <c r="C103" s="8">
        <f t="shared" si="15"/>
        <v>77</v>
      </c>
      <c r="D103" s="7">
        <f t="shared" si="16"/>
        <v>-0.15</v>
      </c>
      <c r="F103">
        <f t="shared" si="17"/>
        <v>0.15</v>
      </c>
      <c r="G103">
        <f t="shared" si="18"/>
        <v>0.12</v>
      </c>
      <c r="H103">
        <f t="shared" si="19"/>
        <v>0.09</v>
      </c>
      <c r="I103">
        <f t="shared" si="20"/>
        <v>0.06</v>
      </c>
      <c r="J103">
        <f t="shared" si="21"/>
        <v>0.03</v>
      </c>
      <c r="K103">
        <f t="shared" si="22"/>
        <v>0</v>
      </c>
      <c r="L103">
        <f t="shared" si="23"/>
        <v>-0.03</v>
      </c>
      <c r="M103">
        <f t="shared" si="24"/>
        <v>-0.06</v>
      </c>
      <c r="N103">
        <f t="shared" si="25"/>
        <v>-0.09</v>
      </c>
      <c r="O103">
        <f t="shared" si="26"/>
        <v>-0.12</v>
      </c>
      <c r="P103">
        <f t="shared" si="27"/>
        <v>-0.15</v>
      </c>
    </row>
    <row r="104" spans="1:16" x14ac:dyDescent="0.3">
      <c r="A104" s="6">
        <v>46094</v>
      </c>
      <c r="B104" s="8">
        <f t="shared" si="14"/>
        <v>72</v>
      </c>
      <c r="C104" s="8">
        <f t="shared" si="15"/>
        <v>78</v>
      </c>
      <c r="D104" s="7">
        <f t="shared" si="16"/>
        <v>-0.15</v>
      </c>
      <c r="F104">
        <f t="shared" si="17"/>
        <v>0.15</v>
      </c>
      <c r="G104">
        <f t="shared" si="18"/>
        <v>0.12</v>
      </c>
      <c r="H104">
        <f t="shared" si="19"/>
        <v>0.09</v>
      </c>
      <c r="I104">
        <f t="shared" si="20"/>
        <v>0.06</v>
      </c>
      <c r="J104">
        <f t="shared" si="21"/>
        <v>0.03</v>
      </c>
      <c r="K104">
        <f t="shared" si="22"/>
        <v>0</v>
      </c>
      <c r="L104">
        <f t="shared" si="23"/>
        <v>-0.03</v>
      </c>
      <c r="M104">
        <f t="shared" si="24"/>
        <v>-0.06</v>
      </c>
      <c r="N104">
        <f t="shared" si="25"/>
        <v>-0.09</v>
      </c>
      <c r="O104">
        <f t="shared" si="26"/>
        <v>-0.12</v>
      </c>
      <c r="P104">
        <f t="shared" si="27"/>
        <v>-0.15</v>
      </c>
    </row>
    <row r="105" spans="1:16" x14ac:dyDescent="0.3">
      <c r="A105" s="6">
        <v>46095</v>
      </c>
      <c r="B105" s="8">
        <f t="shared" si="14"/>
        <v>73</v>
      </c>
      <c r="C105" s="8">
        <f t="shared" si="15"/>
        <v>79</v>
      </c>
      <c r="D105" s="7">
        <f t="shared" si="16"/>
        <v>-0.15</v>
      </c>
      <c r="F105">
        <f t="shared" si="17"/>
        <v>0.15</v>
      </c>
      <c r="G105">
        <f t="shared" si="18"/>
        <v>0.12</v>
      </c>
      <c r="H105">
        <f t="shared" si="19"/>
        <v>0.09</v>
      </c>
      <c r="I105">
        <f t="shared" si="20"/>
        <v>0.06</v>
      </c>
      <c r="J105">
        <f t="shared" si="21"/>
        <v>0.03</v>
      </c>
      <c r="K105">
        <f t="shared" si="22"/>
        <v>0</v>
      </c>
      <c r="L105">
        <f t="shared" si="23"/>
        <v>-0.03</v>
      </c>
      <c r="M105">
        <f t="shared" si="24"/>
        <v>-0.06</v>
      </c>
      <c r="N105">
        <f t="shared" si="25"/>
        <v>-0.09</v>
      </c>
      <c r="O105">
        <f t="shared" si="26"/>
        <v>-0.12</v>
      </c>
      <c r="P105">
        <f t="shared" si="27"/>
        <v>-0.15</v>
      </c>
    </row>
    <row r="106" spans="1:16" x14ac:dyDescent="0.3">
      <c r="A106" s="6">
        <v>46096</v>
      </c>
      <c r="B106" s="8">
        <f t="shared" si="14"/>
        <v>74</v>
      </c>
      <c r="C106" s="8">
        <f t="shared" si="15"/>
        <v>80</v>
      </c>
      <c r="D106" s="7">
        <f t="shared" si="16"/>
        <v>-0.15</v>
      </c>
      <c r="F106">
        <f t="shared" si="17"/>
        <v>0.15</v>
      </c>
      <c r="G106">
        <f t="shared" si="18"/>
        <v>0.12</v>
      </c>
      <c r="H106">
        <f t="shared" si="19"/>
        <v>0.09</v>
      </c>
      <c r="I106">
        <f t="shared" si="20"/>
        <v>0.06</v>
      </c>
      <c r="J106">
        <f t="shared" si="21"/>
        <v>0.03</v>
      </c>
      <c r="K106">
        <f t="shared" si="22"/>
        <v>0</v>
      </c>
      <c r="L106">
        <f t="shared" si="23"/>
        <v>-0.03</v>
      </c>
      <c r="M106">
        <f t="shared" si="24"/>
        <v>-0.06</v>
      </c>
      <c r="N106">
        <f t="shared" si="25"/>
        <v>-0.09</v>
      </c>
      <c r="O106">
        <f t="shared" si="26"/>
        <v>-0.12</v>
      </c>
      <c r="P106">
        <f t="shared" si="27"/>
        <v>-0.15</v>
      </c>
    </row>
    <row r="107" spans="1:16" x14ac:dyDescent="0.3">
      <c r="A107" s="6">
        <v>46097</v>
      </c>
      <c r="B107" s="8">
        <f t="shared" si="14"/>
        <v>75</v>
      </c>
      <c r="C107" s="8">
        <f t="shared" si="15"/>
        <v>81</v>
      </c>
      <c r="D107" s="7">
        <f t="shared" si="16"/>
        <v>-0.15</v>
      </c>
      <c r="F107">
        <f t="shared" si="17"/>
        <v>0.15</v>
      </c>
      <c r="G107">
        <f t="shared" si="18"/>
        <v>0.12</v>
      </c>
      <c r="H107">
        <f t="shared" si="19"/>
        <v>0.09</v>
      </c>
      <c r="I107">
        <f t="shared" si="20"/>
        <v>0.06</v>
      </c>
      <c r="J107">
        <f t="shared" si="21"/>
        <v>0.03</v>
      </c>
      <c r="K107">
        <f t="shared" si="22"/>
        <v>0</v>
      </c>
      <c r="L107">
        <f t="shared" si="23"/>
        <v>-0.03</v>
      </c>
      <c r="M107">
        <f t="shared" si="24"/>
        <v>-0.06</v>
      </c>
      <c r="N107">
        <f t="shared" si="25"/>
        <v>-0.09</v>
      </c>
      <c r="O107">
        <f t="shared" si="26"/>
        <v>-0.12</v>
      </c>
      <c r="P107">
        <f t="shared" si="27"/>
        <v>-0.15</v>
      </c>
    </row>
    <row r="108" spans="1:16" x14ac:dyDescent="0.3">
      <c r="A108" s="6">
        <v>46098</v>
      </c>
      <c r="B108" s="8">
        <f t="shared" si="14"/>
        <v>76</v>
      </c>
      <c r="C108" s="8">
        <f t="shared" si="15"/>
        <v>82</v>
      </c>
      <c r="D108" s="7">
        <f t="shared" si="16"/>
        <v>-0.15</v>
      </c>
      <c r="F108">
        <f t="shared" si="17"/>
        <v>0.15</v>
      </c>
      <c r="G108">
        <f t="shared" si="18"/>
        <v>0.12</v>
      </c>
      <c r="H108">
        <f t="shared" si="19"/>
        <v>0.09</v>
      </c>
      <c r="I108">
        <f t="shared" si="20"/>
        <v>0.06</v>
      </c>
      <c r="J108">
        <f t="shared" si="21"/>
        <v>0.03</v>
      </c>
      <c r="K108">
        <f t="shared" si="22"/>
        <v>0</v>
      </c>
      <c r="L108">
        <f t="shared" si="23"/>
        <v>-0.03</v>
      </c>
      <c r="M108">
        <f t="shared" si="24"/>
        <v>-0.06</v>
      </c>
      <c r="N108">
        <f t="shared" si="25"/>
        <v>-0.09</v>
      </c>
      <c r="O108">
        <f t="shared" si="26"/>
        <v>-0.12</v>
      </c>
      <c r="P108">
        <f t="shared" si="27"/>
        <v>-0.15</v>
      </c>
    </row>
    <row r="109" spans="1:16" x14ac:dyDescent="0.3">
      <c r="A109" s="6">
        <v>46099</v>
      </c>
      <c r="B109" s="8">
        <f t="shared" si="14"/>
        <v>77</v>
      </c>
      <c r="C109" s="8">
        <f t="shared" si="15"/>
        <v>83</v>
      </c>
      <c r="D109" s="7">
        <f t="shared" si="16"/>
        <v>-0.15</v>
      </c>
      <c r="F109">
        <f t="shared" si="17"/>
        <v>0.15</v>
      </c>
      <c r="G109">
        <f t="shared" si="18"/>
        <v>0.12</v>
      </c>
      <c r="H109">
        <f t="shared" si="19"/>
        <v>0.09</v>
      </c>
      <c r="I109">
        <f t="shared" si="20"/>
        <v>0.06</v>
      </c>
      <c r="J109">
        <f t="shared" si="21"/>
        <v>0.03</v>
      </c>
      <c r="K109">
        <f t="shared" si="22"/>
        <v>0</v>
      </c>
      <c r="L109">
        <f t="shared" si="23"/>
        <v>-0.03</v>
      </c>
      <c r="M109">
        <f t="shared" si="24"/>
        <v>-0.06</v>
      </c>
      <c r="N109">
        <f t="shared" si="25"/>
        <v>-0.09</v>
      </c>
      <c r="O109">
        <f t="shared" si="26"/>
        <v>-0.12</v>
      </c>
      <c r="P109">
        <f t="shared" si="27"/>
        <v>-0.15</v>
      </c>
    </row>
    <row r="110" spans="1:16" x14ac:dyDescent="0.3">
      <c r="A110" s="6">
        <v>46100</v>
      </c>
      <c r="B110" s="8">
        <f t="shared" si="14"/>
        <v>78</v>
      </c>
      <c r="C110" s="8">
        <f t="shared" si="15"/>
        <v>84</v>
      </c>
      <c r="D110" s="7">
        <f t="shared" si="16"/>
        <v>-0.15</v>
      </c>
      <c r="F110">
        <f t="shared" si="17"/>
        <v>0.15</v>
      </c>
      <c r="G110">
        <f t="shared" si="18"/>
        <v>0.12</v>
      </c>
      <c r="H110">
        <f t="shared" si="19"/>
        <v>0.09</v>
      </c>
      <c r="I110">
        <f t="shared" si="20"/>
        <v>0.06</v>
      </c>
      <c r="J110">
        <f t="shared" si="21"/>
        <v>0.03</v>
      </c>
      <c r="K110">
        <f t="shared" si="22"/>
        <v>0</v>
      </c>
      <c r="L110">
        <f t="shared" si="23"/>
        <v>-0.03</v>
      </c>
      <c r="M110">
        <f t="shared" si="24"/>
        <v>-0.06</v>
      </c>
      <c r="N110">
        <f t="shared" si="25"/>
        <v>-0.09</v>
      </c>
      <c r="O110">
        <f t="shared" si="26"/>
        <v>-0.12</v>
      </c>
      <c r="P110">
        <f t="shared" si="27"/>
        <v>-0.15</v>
      </c>
    </row>
    <row r="111" spans="1:16" x14ac:dyDescent="0.3">
      <c r="A111" s="6">
        <v>46101</v>
      </c>
      <c r="B111" s="8">
        <f t="shared" si="14"/>
        <v>79</v>
      </c>
      <c r="C111" s="8">
        <f t="shared" si="15"/>
        <v>85</v>
      </c>
      <c r="D111" s="7">
        <f t="shared" si="16"/>
        <v>-0.15</v>
      </c>
      <c r="F111">
        <f t="shared" si="17"/>
        <v>0.15</v>
      </c>
      <c r="G111">
        <f t="shared" si="18"/>
        <v>0.12</v>
      </c>
      <c r="H111">
        <f t="shared" si="19"/>
        <v>0.09</v>
      </c>
      <c r="I111">
        <f t="shared" si="20"/>
        <v>0.06</v>
      </c>
      <c r="J111">
        <f t="shared" si="21"/>
        <v>0.03</v>
      </c>
      <c r="K111">
        <f t="shared" si="22"/>
        <v>0</v>
      </c>
      <c r="L111">
        <f t="shared" si="23"/>
        <v>-0.03</v>
      </c>
      <c r="M111">
        <f t="shared" si="24"/>
        <v>-0.06</v>
      </c>
      <c r="N111">
        <f t="shared" si="25"/>
        <v>-0.09</v>
      </c>
      <c r="O111">
        <f t="shared" si="26"/>
        <v>-0.12</v>
      </c>
      <c r="P111">
        <f t="shared" si="27"/>
        <v>-0.15</v>
      </c>
    </row>
    <row r="112" spans="1:16" x14ac:dyDescent="0.3">
      <c r="A112" s="6">
        <v>46102</v>
      </c>
      <c r="B112" s="8">
        <f t="shared" si="14"/>
        <v>80</v>
      </c>
      <c r="C112" s="8">
        <f t="shared" si="15"/>
        <v>86</v>
      </c>
      <c r="D112" s="7">
        <f t="shared" si="16"/>
        <v>-0.15</v>
      </c>
      <c r="F112">
        <f t="shared" si="17"/>
        <v>0.15</v>
      </c>
      <c r="G112">
        <f t="shared" si="18"/>
        <v>0.12</v>
      </c>
      <c r="H112">
        <f t="shared" si="19"/>
        <v>0.09</v>
      </c>
      <c r="I112">
        <f t="shared" si="20"/>
        <v>0.06</v>
      </c>
      <c r="J112">
        <f t="shared" si="21"/>
        <v>0.03</v>
      </c>
      <c r="K112">
        <f t="shared" si="22"/>
        <v>0</v>
      </c>
      <c r="L112">
        <f t="shared" si="23"/>
        <v>-0.03</v>
      </c>
      <c r="M112">
        <f t="shared" si="24"/>
        <v>-0.06</v>
      </c>
      <c r="N112">
        <f t="shared" si="25"/>
        <v>-0.09</v>
      </c>
      <c r="O112">
        <f t="shared" si="26"/>
        <v>-0.12</v>
      </c>
      <c r="P112">
        <f t="shared" si="27"/>
        <v>-0.15</v>
      </c>
    </row>
    <row r="113" spans="1:16" x14ac:dyDescent="0.3">
      <c r="A113" s="6">
        <v>46103</v>
      </c>
      <c r="B113" s="8">
        <f t="shared" si="14"/>
        <v>81</v>
      </c>
      <c r="C113" s="8">
        <f t="shared" si="15"/>
        <v>87</v>
      </c>
      <c r="D113" s="7">
        <f t="shared" si="16"/>
        <v>-0.15</v>
      </c>
      <c r="F113">
        <f t="shared" si="17"/>
        <v>0.15</v>
      </c>
      <c r="G113">
        <f t="shared" si="18"/>
        <v>0.12</v>
      </c>
      <c r="H113">
        <f t="shared" si="19"/>
        <v>0.09</v>
      </c>
      <c r="I113">
        <f t="shared" si="20"/>
        <v>0.06</v>
      </c>
      <c r="J113">
        <f t="shared" si="21"/>
        <v>0.03</v>
      </c>
      <c r="K113">
        <f t="shared" si="22"/>
        <v>0</v>
      </c>
      <c r="L113">
        <f t="shared" si="23"/>
        <v>-0.03</v>
      </c>
      <c r="M113">
        <f t="shared" si="24"/>
        <v>-0.06</v>
      </c>
      <c r="N113">
        <f t="shared" si="25"/>
        <v>-0.09</v>
      </c>
      <c r="O113">
        <f t="shared" si="26"/>
        <v>-0.12</v>
      </c>
      <c r="P113">
        <f t="shared" si="27"/>
        <v>-0.15</v>
      </c>
    </row>
    <row r="114" spans="1:16" x14ac:dyDescent="0.3">
      <c r="A114" s="6">
        <v>46104</v>
      </c>
      <c r="B114" s="8">
        <f t="shared" si="14"/>
        <v>82</v>
      </c>
      <c r="C114" s="8">
        <f t="shared" si="15"/>
        <v>88</v>
      </c>
      <c r="D114" s="7">
        <f t="shared" si="16"/>
        <v>-0.15</v>
      </c>
      <c r="F114">
        <f t="shared" si="17"/>
        <v>0.15</v>
      </c>
      <c r="G114">
        <f t="shared" si="18"/>
        <v>0.12</v>
      </c>
      <c r="H114">
        <f t="shared" si="19"/>
        <v>0.09</v>
      </c>
      <c r="I114">
        <f t="shared" si="20"/>
        <v>0.06</v>
      </c>
      <c r="J114">
        <f t="shared" si="21"/>
        <v>0.03</v>
      </c>
      <c r="K114">
        <f t="shared" si="22"/>
        <v>0</v>
      </c>
      <c r="L114">
        <f t="shared" si="23"/>
        <v>-0.03</v>
      </c>
      <c r="M114">
        <f t="shared" si="24"/>
        <v>-0.06</v>
      </c>
      <c r="N114">
        <f t="shared" si="25"/>
        <v>-0.09</v>
      </c>
      <c r="O114">
        <f t="shared" si="26"/>
        <v>-0.12</v>
      </c>
      <c r="P114">
        <f t="shared" si="27"/>
        <v>-0.15</v>
      </c>
    </row>
    <row r="115" spans="1:16" x14ac:dyDescent="0.3">
      <c r="A115" s="6">
        <v>46105</v>
      </c>
      <c r="B115" s="8">
        <f t="shared" si="14"/>
        <v>83</v>
      </c>
      <c r="C115" s="8">
        <f t="shared" si="15"/>
        <v>89</v>
      </c>
      <c r="D115" s="7">
        <f t="shared" si="16"/>
        <v>-0.15</v>
      </c>
      <c r="F115">
        <f t="shared" si="17"/>
        <v>0.15</v>
      </c>
      <c r="G115">
        <f t="shared" si="18"/>
        <v>0.12</v>
      </c>
      <c r="H115">
        <f t="shared" si="19"/>
        <v>0.09</v>
      </c>
      <c r="I115">
        <f t="shared" si="20"/>
        <v>0.06</v>
      </c>
      <c r="J115">
        <f t="shared" si="21"/>
        <v>0.03</v>
      </c>
      <c r="K115">
        <f t="shared" si="22"/>
        <v>0</v>
      </c>
      <c r="L115">
        <f t="shared" si="23"/>
        <v>-0.03</v>
      </c>
      <c r="M115">
        <f t="shared" si="24"/>
        <v>-0.06</v>
      </c>
      <c r="N115">
        <f t="shared" si="25"/>
        <v>-0.09</v>
      </c>
      <c r="O115">
        <f t="shared" si="26"/>
        <v>-0.12</v>
      </c>
      <c r="P115">
        <f t="shared" si="27"/>
        <v>-0.15</v>
      </c>
    </row>
    <row r="116" spans="1:16" x14ac:dyDescent="0.3">
      <c r="A116" s="6">
        <v>46106</v>
      </c>
      <c r="B116" s="8">
        <f t="shared" si="14"/>
        <v>84</v>
      </c>
      <c r="C116" s="8">
        <f t="shared" si="15"/>
        <v>90</v>
      </c>
      <c r="D116" s="7">
        <f t="shared" si="16"/>
        <v>-0.15</v>
      </c>
      <c r="F116">
        <f t="shared" si="17"/>
        <v>0.15</v>
      </c>
      <c r="G116">
        <f t="shared" si="18"/>
        <v>0.12</v>
      </c>
      <c r="H116">
        <f t="shared" si="19"/>
        <v>0.09</v>
      </c>
      <c r="I116">
        <f t="shared" si="20"/>
        <v>0.06</v>
      </c>
      <c r="J116">
        <f t="shared" si="21"/>
        <v>0.03</v>
      </c>
      <c r="K116">
        <f t="shared" si="22"/>
        <v>0</v>
      </c>
      <c r="L116">
        <f t="shared" si="23"/>
        <v>-0.03</v>
      </c>
      <c r="M116">
        <f t="shared" si="24"/>
        <v>-0.06</v>
      </c>
      <c r="N116">
        <f t="shared" si="25"/>
        <v>-0.09</v>
      </c>
      <c r="O116">
        <f t="shared" si="26"/>
        <v>-0.12</v>
      </c>
      <c r="P116">
        <f t="shared" si="27"/>
        <v>-0.15</v>
      </c>
    </row>
    <row r="117" spans="1:16" x14ac:dyDescent="0.3">
      <c r="A117" s="6">
        <v>46107</v>
      </c>
      <c r="B117" s="8">
        <f t="shared" si="14"/>
        <v>85</v>
      </c>
      <c r="C117" s="8">
        <f t="shared" si="15"/>
        <v>91</v>
      </c>
      <c r="D117" s="7">
        <f t="shared" si="16"/>
        <v>-0.15</v>
      </c>
      <c r="F117">
        <f t="shared" si="17"/>
        <v>0.15</v>
      </c>
      <c r="G117">
        <f t="shared" si="18"/>
        <v>0.12</v>
      </c>
      <c r="H117">
        <f t="shared" si="19"/>
        <v>0.09</v>
      </c>
      <c r="I117">
        <f t="shared" si="20"/>
        <v>0.06</v>
      </c>
      <c r="J117">
        <f t="shared" si="21"/>
        <v>0.03</v>
      </c>
      <c r="K117">
        <f t="shared" si="22"/>
        <v>0</v>
      </c>
      <c r="L117">
        <f t="shared" si="23"/>
        <v>-0.03</v>
      </c>
      <c r="M117">
        <f t="shared" si="24"/>
        <v>-0.06</v>
      </c>
      <c r="N117">
        <f t="shared" si="25"/>
        <v>-0.09</v>
      </c>
      <c r="O117">
        <f t="shared" si="26"/>
        <v>-0.12</v>
      </c>
      <c r="P117">
        <f t="shared" si="27"/>
        <v>-0.15</v>
      </c>
    </row>
    <row r="118" spans="1:16" x14ac:dyDescent="0.3">
      <c r="A118" s="6">
        <v>46108</v>
      </c>
      <c r="B118" s="8">
        <f t="shared" si="14"/>
        <v>86</v>
      </c>
      <c r="C118" s="8">
        <f t="shared" si="15"/>
        <v>92</v>
      </c>
      <c r="D118" s="7">
        <f t="shared" si="16"/>
        <v>-0.15</v>
      </c>
      <c r="F118">
        <f t="shared" si="17"/>
        <v>0.15</v>
      </c>
      <c r="G118">
        <f t="shared" si="18"/>
        <v>0.12</v>
      </c>
      <c r="H118">
        <f t="shared" si="19"/>
        <v>0.09</v>
      </c>
      <c r="I118">
        <f t="shared" si="20"/>
        <v>0.06</v>
      </c>
      <c r="J118">
        <f t="shared" si="21"/>
        <v>0.03</v>
      </c>
      <c r="K118">
        <f t="shared" si="22"/>
        <v>0</v>
      </c>
      <c r="L118">
        <f t="shared" si="23"/>
        <v>-0.03</v>
      </c>
      <c r="M118">
        <f t="shared" si="24"/>
        <v>-0.06</v>
      </c>
      <c r="N118">
        <f t="shared" si="25"/>
        <v>-0.09</v>
      </c>
      <c r="O118">
        <f t="shared" si="26"/>
        <v>-0.12</v>
      </c>
      <c r="P118">
        <f t="shared" si="27"/>
        <v>-0.15</v>
      </c>
    </row>
    <row r="119" spans="1:16" x14ac:dyDescent="0.3">
      <c r="A119" s="6">
        <v>46109</v>
      </c>
      <c r="B119" s="8">
        <f t="shared" si="14"/>
        <v>87</v>
      </c>
      <c r="C119" s="8">
        <f t="shared" si="15"/>
        <v>93</v>
      </c>
      <c r="D119" s="7">
        <f t="shared" si="16"/>
        <v>-0.15</v>
      </c>
      <c r="F119">
        <f t="shared" si="17"/>
        <v>0.15</v>
      </c>
      <c r="G119">
        <f t="shared" si="18"/>
        <v>0.12</v>
      </c>
      <c r="H119">
        <f t="shared" si="19"/>
        <v>0.09</v>
      </c>
      <c r="I119">
        <f t="shared" si="20"/>
        <v>0.06</v>
      </c>
      <c r="J119">
        <f t="shared" si="21"/>
        <v>0.03</v>
      </c>
      <c r="K119">
        <f t="shared" si="22"/>
        <v>0</v>
      </c>
      <c r="L119">
        <f t="shared" si="23"/>
        <v>-0.03</v>
      </c>
      <c r="M119">
        <f t="shared" si="24"/>
        <v>-0.06</v>
      </c>
      <c r="N119">
        <f t="shared" si="25"/>
        <v>-0.09</v>
      </c>
      <c r="O119">
        <f t="shared" si="26"/>
        <v>-0.12</v>
      </c>
      <c r="P119">
        <f t="shared" si="27"/>
        <v>-0.15</v>
      </c>
    </row>
    <row r="120" spans="1:16" x14ac:dyDescent="0.3">
      <c r="A120" s="6">
        <v>46110</v>
      </c>
      <c r="B120" s="8">
        <f t="shared" si="14"/>
        <v>88</v>
      </c>
      <c r="C120" s="8">
        <f t="shared" si="15"/>
        <v>94</v>
      </c>
      <c r="D120" s="7">
        <f t="shared" si="16"/>
        <v>-0.15</v>
      </c>
      <c r="F120">
        <f t="shared" si="17"/>
        <v>0.15</v>
      </c>
      <c r="G120">
        <f t="shared" si="18"/>
        <v>0.12</v>
      </c>
      <c r="H120">
        <f t="shared" si="19"/>
        <v>0.09</v>
      </c>
      <c r="I120">
        <f t="shared" si="20"/>
        <v>0.06</v>
      </c>
      <c r="J120">
        <f t="shared" si="21"/>
        <v>0.03</v>
      </c>
      <c r="K120">
        <f t="shared" si="22"/>
        <v>0</v>
      </c>
      <c r="L120">
        <f t="shared" si="23"/>
        <v>-0.03</v>
      </c>
      <c r="M120">
        <f t="shared" si="24"/>
        <v>-0.06</v>
      </c>
      <c r="N120">
        <f t="shared" si="25"/>
        <v>-0.09</v>
      </c>
      <c r="O120">
        <f t="shared" si="26"/>
        <v>-0.12</v>
      </c>
      <c r="P120">
        <f t="shared" si="27"/>
        <v>-0.15</v>
      </c>
    </row>
    <row r="121" spans="1:16" x14ac:dyDescent="0.3">
      <c r="A121" s="6">
        <v>46111</v>
      </c>
      <c r="B121" s="8">
        <f t="shared" si="14"/>
        <v>89</v>
      </c>
      <c r="C121" s="8">
        <f t="shared" si="15"/>
        <v>95</v>
      </c>
      <c r="D121" s="7">
        <f t="shared" si="16"/>
        <v>-0.15</v>
      </c>
      <c r="F121">
        <f t="shared" si="17"/>
        <v>0.15</v>
      </c>
      <c r="G121">
        <f t="shared" si="18"/>
        <v>0.12</v>
      </c>
      <c r="H121">
        <f t="shared" si="19"/>
        <v>0.09</v>
      </c>
      <c r="I121">
        <f t="shared" si="20"/>
        <v>0.06</v>
      </c>
      <c r="J121">
        <f t="shared" si="21"/>
        <v>0.03</v>
      </c>
      <c r="K121">
        <f t="shared" si="22"/>
        <v>0</v>
      </c>
      <c r="L121">
        <f t="shared" si="23"/>
        <v>-0.03</v>
      </c>
      <c r="M121">
        <f t="shared" si="24"/>
        <v>-0.06</v>
      </c>
      <c r="N121">
        <f t="shared" si="25"/>
        <v>-0.09</v>
      </c>
      <c r="O121">
        <f t="shared" si="26"/>
        <v>-0.12</v>
      </c>
      <c r="P121">
        <f t="shared" si="27"/>
        <v>-0.15</v>
      </c>
    </row>
    <row r="122" spans="1:16" x14ac:dyDescent="0.3">
      <c r="A122" s="6">
        <v>46112</v>
      </c>
      <c r="B122" s="8">
        <f t="shared" si="14"/>
        <v>90</v>
      </c>
      <c r="C122" s="8">
        <f t="shared" si="15"/>
        <v>96</v>
      </c>
      <c r="D122" s="7">
        <f t="shared" si="16"/>
        <v>-0.15</v>
      </c>
      <c r="F122">
        <f t="shared" si="17"/>
        <v>0.15</v>
      </c>
      <c r="G122">
        <f t="shared" si="18"/>
        <v>0.12</v>
      </c>
      <c r="H122">
        <f t="shared" si="19"/>
        <v>0.09</v>
      </c>
      <c r="I122">
        <f t="shared" si="20"/>
        <v>0.06</v>
      </c>
      <c r="J122">
        <f t="shared" si="21"/>
        <v>0.03</v>
      </c>
      <c r="K122">
        <f t="shared" si="22"/>
        <v>0</v>
      </c>
      <c r="L122">
        <f t="shared" si="23"/>
        <v>-0.03</v>
      </c>
      <c r="M122">
        <f t="shared" si="24"/>
        <v>-0.06</v>
      </c>
      <c r="N122">
        <f t="shared" si="25"/>
        <v>-0.09</v>
      </c>
      <c r="O122">
        <f t="shared" si="26"/>
        <v>-0.12</v>
      </c>
      <c r="P122">
        <f t="shared" si="27"/>
        <v>-0.15</v>
      </c>
    </row>
    <row r="123" spans="1:16" x14ac:dyDescent="0.3">
      <c r="A123" s="6">
        <v>46113</v>
      </c>
      <c r="B123" s="8">
        <f t="shared" si="14"/>
        <v>91</v>
      </c>
      <c r="C123" s="8">
        <f t="shared" si="15"/>
        <v>97</v>
      </c>
      <c r="D123" s="7">
        <f t="shared" si="16"/>
        <v>-0.15</v>
      </c>
      <c r="F123">
        <f t="shared" si="17"/>
        <v>0.15</v>
      </c>
      <c r="G123">
        <f t="shared" si="18"/>
        <v>0.12</v>
      </c>
      <c r="H123">
        <f t="shared" si="19"/>
        <v>0.09</v>
      </c>
      <c r="I123">
        <f t="shared" si="20"/>
        <v>0.06</v>
      </c>
      <c r="J123">
        <f t="shared" si="21"/>
        <v>0.03</v>
      </c>
      <c r="K123">
        <f t="shared" si="22"/>
        <v>0</v>
      </c>
      <c r="L123">
        <f t="shared" si="23"/>
        <v>-0.03</v>
      </c>
      <c r="M123">
        <f t="shared" si="24"/>
        <v>-0.06</v>
      </c>
      <c r="N123">
        <f t="shared" si="25"/>
        <v>-0.09</v>
      </c>
      <c r="O123">
        <f t="shared" si="26"/>
        <v>-0.12</v>
      </c>
      <c r="P123">
        <f t="shared" si="27"/>
        <v>-0.15</v>
      </c>
    </row>
    <row r="124" spans="1:16" x14ac:dyDescent="0.3">
      <c r="A124" s="6">
        <v>46114</v>
      </c>
      <c r="B124" s="8">
        <f t="shared" si="14"/>
        <v>92</v>
      </c>
      <c r="C124" s="8">
        <f t="shared" si="15"/>
        <v>98</v>
      </c>
      <c r="D124" s="7">
        <f t="shared" si="16"/>
        <v>-0.15</v>
      </c>
      <c r="F124">
        <f t="shared" si="17"/>
        <v>0.15</v>
      </c>
      <c r="G124">
        <f t="shared" si="18"/>
        <v>0.12</v>
      </c>
      <c r="H124">
        <f t="shared" si="19"/>
        <v>0.09</v>
      </c>
      <c r="I124">
        <f t="shared" si="20"/>
        <v>0.06</v>
      </c>
      <c r="J124">
        <f t="shared" si="21"/>
        <v>0.03</v>
      </c>
      <c r="K124">
        <f t="shared" si="22"/>
        <v>0</v>
      </c>
      <c r="L124">
        <f t="shared" si="23"/>
        <v>-0.03</v>
      </c>
      <c r="M124">
        <f t="shared" si="24"/>
        <v>-0.06</v>
      </c>
      <c r="N124">
        <f t="shared" si="25"/>
        <v>-0.09</v>
      </c>
      <c r="O124">
        <f t="shared" si="26"/>
        <v>-0.12</v>
      </c>
      <c r="P124">
        <f t="shared" si="27"/>
        <v>-0.15</v>
      </c>
    </row>
    <row r="125" spans="1:16" x14ac:dyDescent="0.3">
      <c r="A125" s="6">
        <v>46115</v>
      </c>
      <c r="B125" s="8">
        <f t="shared" si="14"/>
        <v>93</v>
      </c>
      <c r="C125" s="8">
        <f t="shared" si="15"/>
        <v>99</v>
      </c>
      <c r="D125" s="7">
        <f t="shared" si="16"/>
        <v>-0.15</v>
      </c>
      <c r="F125">
        <f t="shared" si="17"/>
        <v>0.15</v>
      </c>
      <c r="G125">
        <f t="shared" si="18"/>
        <v>0.12</v>
      </c>
      <c r="H125">
        <f t="shared" si="19"/>
        <v>0.09</v>
      </c>
      <c r="I125">
        <f t="shared" si="20"/>
        <v>0.06</v>
      </c>
      <c r="J125">
        <f t="shared" si="21"/>
        <v>0.03</v>
      </c>
      <c r="K125">
        <f t="shared" si="22"/>
        <v>0</v>
      </c>
      <c r="L125">
        <f t="shared" si="23"/>
        <v>-0.03</v>
      </c>
      <c r="M125">
        <f t="shared" si="24"/>
        <v>-0.06</v>
      </c>
      <c r="N125">
        <f t="shared" si="25"/>
        <v>-0.09</v>
      </c>
      <c r="O125">
        <f t="shared" si="26"/>
        <v>-0.12</v>
      </c>
      <c r="P125">
        <f t="shared" si="27"/>
        <v>-0.15</v>
      </c>
    </row>
    <row r="126" spans="1:16" x14ac:dyDescent="0.3">
      <c r="A126" s="6">
        <v>46116</v>
      </c>
      <c r="B126" s="8">
        <f t="shared" si="14"/>
        <v>94</v>
      </c>
      <c r="C126" s="8">
        <f t="shared" si="15"/>
        <v>100</v>
      </c>
      <c r="D126" s="7">
        <f t="shared" si="16"/>
        <v>-0.15</v>
      </c>
      <c r="F126">
        <f t="shared" si="17"/>
        <v>0.15</v>
      </c>
      <c r="G126">
        <f t="shared" si="18"/>
        <v>0.12</v>
      </c>
      <c r="H126">
        <f t="shared" si="19"/>
        <v>0.09</v>
      </c>
      <c r="I126">
        <f t="shared" si="20"/>
        <v>0.06</v>
      </c>
      <c r="J126">
        <f t="shared" si="21"/>
        <v>0.03</v>
      </c>
      <c r="K126">
        <f t="shared" si="22"/>
        <v>0</v>
      </c>
      <c r="L126">
        <f t="shared" si="23"/>
        <v>-0.03</v>
      </c>
      <c r="M126">
        <f t="shared" si="24"/>
        <v>-0.06</v>
      </c>
      <c r="N126">
        <f t="shared" si="25"/>
        <v>-0.09</v>
      </c>
      <c r="O126">
        <f t="shared" si="26"/>
        <v>-0.12</v>
      </c>
      <c r="P126">
        <f t="shared" si="27"/>
        <v>-0.15</v>
      </c>
    </row>
    <row r="127" spans="1:16" x14ac:dyDescent="0.3">
      <c r="A127" s="6">
        <v>46117</v>
      </c>
      <c r="B127" s="8">
        <f t="shared" si="14"/>
        <v>95</v>
      </c>
      <c r="C127" s="8">
        <f t="shared" si="15"/>
        <v>101</v>
      </c>
      <c r="D127" s="7">
        <f t="shared" si="16"/>
        <v>-0.15</v>
      </c>
      <c r="F127">
        <f t="shared" si="17"/>
        <v>0.15</v>
      </c>
      <c r="G127">
        <f t="shared" si="18"/>
        <v>0.12</v>
      </c>
      <c r="H127">
        <f t="shared" si="19"/>
        <v>0.09</v>
      </c>
      <c r="I127">
        <f t="shared" si="20"/>
        <v>0.06</v>
      </c>
      <c r="J127">
        <f t="shared" si="21"/>
        <v>0.03</v>
      </c>
      <c r="K127">
        <f t="shared" si="22"/>
        <v>0</v>
      </c>
      <c r="L127">
        <f t="shared" si="23"/>
        <v>-0.03</v>
      </c>
      <c r="M127">
        <f t="shared" si="24"/>
        <v>-0.06</v>
      </c>
      <c r="N127">
        <f t="shared" si="25"/>
        <v>-0.09</v>
      </c>
      <c r="O127">
        <f t="shared" si="26"/>
        <v>-0.12</v>
      </c>
      <c r="P127">
        <f t="shared" si="27"/>
        <v>-0.15</v>
      </c>
    </row>
    <row r="128" spans="1:16" x14ac:dyDescent="0.3">
      <c r="A128" s="6">
        <v>46118</v>
      </c>
      <c r="B128" s="8">
        <f t="shared" si="14"/>
        <v>96</v>
      </c>
      <c r="C128" s="8">
        <f t="shared" si="15"/>
        <v>102</v>
      </c>
      <c r="D128" s="7">
        <f t="shared" si="16"/>
        <v>-0.15</v>
      </c>
      <c r="F128">
        <f t="shared" si="17"/>
        <v>0.15</v>
      </c>
      <c r="G128">
        <f t="shared" si="18"/>
        <v>0.12</v>
      </c>
      <c r="H128">
        <f t="shared" si="19"/>
        <v>0.09</v>
      </c>
      <c r="I128">
        <f t="shared" si="20"/>
        <v>0.06</v>
      </c>
      <c r="J128">
        <f t="shared" si="21"/>
        <v>0.03</v>
      </c>
      <c r="K128">
        <f t="shared" si="22"/>
        <v>0</v>
      </c>
      <c r="L128">
        <f t="shared" si="23"/>
        <v>-0.03</v>
      </c>
      <c r="M128">
        <f t="shared" si="24"/>
        <v>-0.06</v>
      </c>
      <c r="N128">
        <f t="shared" si="25"/>
        <v>-0.09</v>
      </c>
      <c r="O128">
        <f t="shared" si="26"/>
        <v>-0.12</v>
      </c>
      <c r="P128">
        <f t="shared" si="27"/>
        <v>-0.15</v>
      </c>
    </row>
    <row r="129" spans="1:16" x14ac:dyDescent="0.3">
      <c r="A129" s="6">
        <v>46119</v>
      </c>
      <c r="B129" s="8">
        <f t="shared" si="14"/>
        <v>97</v>
      </c>
      <c r="C129" s="8">
        <f t="shared" si="15"/>
        <v>103</v>
      </c>
      <c r="D129" s="7">
        <f t="shared" si="16"/>
        <v>-0.15</v>
      </c>
      <c r="F129">
        <f t="shared" si="17"/>
        <v>0.15</v>
      </c>
      <c r="G129">
        <f t="shared" si="18"/>
        <v>0.12</v>
      </c>
      <c r="H129">
        <f t="shared" si="19"/>
        <v>0.09</v>
      </c>
      <c r="I129">
        <f t="shared" si="20"/>
        <v>0.06</v>
      </c>
      <c r="J129">
        <f t="shared" si="21"/>
        <v>0.03</v>
      </c>
      <c r="K129">
        <f t="shared" si="22"/>
        <v>0</v>
      </c>
      <c r="L129">
        <f t="shared" si="23"/>
        <v>-0.03</v>
      </c>
      <c r="M129">
        <f t="shared" si="24"/>
        <v>-0.06</v>
      </c>
      <c r="N129">
        <f t="shared" si="25"/>
        <v>-0.09</v>
      </c>
      <c r="O129">
        <f t="shared" si="26"/>
        <v>-0.12</v>
      </c>
      <c r="P129">
        <f t="shared" si="27"/>
        <v>-0.15</v>
      </c>
    </row>
    <row r="130" spans="1:16" x14ac:dyDescent="0.3">
      <c r="A130" s="6">
        <v>46120</v>
      </c>
      <c r="B130" s="8">
        <f t="shared" si="14"/>
        <v>98</v>
      </c>
      <c r="C130" s="8">
        <f t="shared" si="15"/>
        <v>104</v>
      </c>
      <c r="D130" s="7">
        <f t="shared" si="16"/>
        <v>-0.15</v>
      </c>
      <c r="F130">
        <f t="shared" si="17"/>
        <v>0.15</v>
      </c>
      <c r="G130">
        <f t="shared" si="18"/>
        <v>0.12</v>
      </c>
      <c r="H130">
        <f t="shared" si="19"/>
        <v>0.09</v>
      </c>
      <c r="I130">
        <f t="shared" si="20"/>
        <v>0.06</v>
      </c>
      <c r="J130">
        <f t="shared" si="21"/>
        <v>0.03</v>
      </c>
      <c r="K130">
        <f t="shared" si="22"/>
        <v>0</v>
      </c>
      <c r="L130">
        <f t="shared" si="23"/>
        <v>-0.03</v>
      </c>
      <c r="M130">
        <f t="shared" si="24"/>
        <v>-0.06</v>
      </c>
      <c r="N130">
        <f t="shared" si="25"/>
        <v>-0.09</v>
      </c>
      <c r="O130">
        <f t="shared" si="26"/>
        <v>-0.12</v>
      </c>
      <c r="P130">
        <f t="shared" si="27"/>
        <v>-0.15</v>
      </c>
    </row>
    <row r="131" spans="1:16" x14ac:dyDescent="0.3">
      <c r="A131" s="6">
        <v>46121</v>
      </c>
      <c r="B131" s="8">
        <f t="shared" ref="B131:B194" si="28" xml:space="preserve"> A131 - DATE(YEAR(A131), 1, 1) + 1</f>
        <v>99</v>
      </c>
      <c r="C131" s="8">
        <f t="shared" ref="C131:C194" si="29">MIN(ABS(359-B131), 365-ABS(359-B131))</f>
        <v>105</v>
      </c>
      <c r="D131" s="7">
        <f t="shared" ref="D131:D194" si="30">MAX(0, $T$4 - (C131/$U$4)) ^ $T$7 - $U$7</f>
        <v>-0.15</v>
      </c>
      <c r="F131">
        <f t="shared" ref="F131:F194" si="31">(-10/10) * D131</f>
        <v>0.15</v>
      </c>
      <c r="G131">
        <f t="shared" ref="G131:G194" si="32">(-8/10) * $D131</f>
        <v>0.12</v>
      </c>
      <c r="H131">
        <f t="shared" ref="H131:H194" si="33">(-6/10) * $D131</f>
        <v>0.09</v>
      </c>
      <c r="I131">
        <f t="shared" ref="I131:I194" si="34">(-4/10) * $D131</f>
        <v>0.06</v>
      </c>
      <c r="J131">
        <f t="shared" ref="J131:J194" si="35">(-2/10) * $D131</f>
        <v>0.03</v>
      </c>
      <c r="K131">
        <f t="shared" ref="K131:K194" si="36">(0/10) * $D131</f>
        <v>0</v>
      </c>
      <c r="L131">
        <f t="shared" ref="L131:L194" si="37">(2/10) * $D131</f>
        <v>-0.03</v>
      </c>
      <c r="M131">
        <f t="shared" ref="M131:M194" si="38">(4/10) * $D131</f>
        <v>-0.06</v>
      </c>
      <c r="N131">
        <f t="shared" ref="N131:N194" si="39">(6/10) * $D131</f>
        <v>-0.09</v>
      </c>
      <c r="O131">
        <f t="shared" ref="O131:O194" si="40">(8/10) * $D131</f>
        <v>-0.12</v>
      </c>
      <c r="P131">
        <f t="shared" ref="P131:P194" si="41">(10/10) * $D131</f>
        <v>-0.15</v>
      </c>
    </row>
    <row r="132" spans="1:16" x14ac:dyDescent="0.3">
      <c r="A132" s="6">
        <v>46122</v>
      </c>
      <c r="B132" s="8">
        <f t="shared" si="28"/>
        <v>100</v>
      </c>
      <c r="C132" s="8">
        <f t="shared" si="29"/>
        <v>106</v>
      </c>
      <c r="D132" s="7">
        <f t="shared" si="30"/>
        <v>-0.15</v>
      </c>
      <c r="F132">
        <f t="shared" si="31"/>
        <v>0.15</v>
      </c>
      <c r="G132">
        <f t="shared" si="32"/>
        <v>0.12</v>
      </c>
      <c r="H132">
        <f t="shared" si="33"/>
        <v>0.09</v>
      </c>
      <c r="I132">
        <f t="shared" si="34"/>
        <v>0.06</v>
      </c>
      <c r="J132">
        <f t="shared" si="35"/>
        <v>0.03</v>
      </c>
      <c r="K132">
        <f t="shared" si="36"/>
        <v>0</v>
      </c>
      <c r="L132">
        <f t="shared" si="37"/>
        <v>-0.03</v>
      </c>
      <c r="M132">
        <f t="shared" si="38"/>
        <v>-0.06</v>
      </c>
      <c r="N132">
        <f t="shared" si="39"/>
        <v>-0.09</v>
      </c>
      <c r="O132">
        <f t="shared" si="40"/>
        <v>-0.12</v>
      </c>
      <c r="P132">
        <f t="shared" si="41"/>
        <v>-0.15</v>
      </c>
    </row>
    <row r="133" spans="1:16" x14ac:dyDescent="0.3">
      <c r="A133" s="6">
        <v>46123</v>
      </c>
      <c r="B133" s="8">
        <f t="shared" si="28"/>
        <v>101</v>
      </c>
      <c r="C133" s="8">
        <f t="shared" si="29"/>
        <v>107</v>
      </c>
      <c r="D133" s="7">
        <f t="shared" si="30"/>
        <v>-0.15</v>
      </c>
      <c r="F133">
        <f t="shared" si="31"/>
        <v>0.15</v>
      </c>
      <c r="G133">
        <f t="shared" si="32"/>
        <v>0.12</v>
      </c>
      <c r="H133">
        <f t="shared" si="33"/>
        <v>0.09</v>
      </c>
      <c r="I133">
        <f t="shared" si="34"/>
        <v>0.06</v>
      </c>
      <c r="J133">
        <f t="shared" si="35"/>
        <v>0.03</v>
      </c>
      <c r="K133">
        <f t="shared" si="36"/>
        <v>0</v>
      </c>
      <c r="L133">
        <f t="shared" si="37"/>
        <v>-0.03</v>
      </c>
      <c r="M133">
        <f t="shared" si="38"/>
        <v>-0.06</v>
      </c>
      <c r="N133">
        <f t="shared" si="39"/>
        <v>-0.09</v>
      </c>
      <c r="O133">
        <f t="shared" si="40"/>
        <v>-0.12</v>
      </c>
      <c r="P133">
        <f t="shared" si="41"/>
        <v>-0.15</v>
      </c>
    </row>
    <row r="134" spans="1:16" x14ac:dyDescent="0.3">
      <c r="A134" s="6">
        <v>46124</v>
      </c>
      <c r="B134" s="8">
        <f t="shared" si="28"/>
        <v>102</v>
      </c>
      <c r="C134" s="8">
        <f t="shared" si="29"/>
        <v>108</v>
      </c>
      <c r="D134" s="7">
        <f t="shared" si="30"/>
        <v>-0.15</v>
      </c>
      <c r="F134">
        <f t="shared" si="31"/>
        <v>0.15</v>
      </c>
      <c r="G134">
        <f t="shared" si="32"/>
        <v>0.12</v>
      </c>
      <c r="H134">
        <f t="shared" si="33"/>
        <v>0.09</v>
      </c>
      <c r="I134">
        <f t="shared" si="34"/>
        <v>0.06</v>
      </c>
      <c r="J134">
        <f t="shared" si="35"/>
        <v>0.03</v>
      </c>
      <c r="K134">
        <f t="shared" si="36"/>
        <v>0</v>
      </c>
      <c r="L134">
        <f t="shared" si="37"/>
        <v>-0.03</v>
      </c>
      <c r="M134">
        <f t="shared" si="38"/>
        <v>-0.06</v>
      </c>
      <c r="N134">
        <f t="shared" si="39"/>
        <v>-0.09</v>
      </c>
      <c r="O134">
        <f t="shared" si="40"/>
        <v>-0.12</v>
      </c>
      <c r="P134">
        <f t="shared" si="41"/>
        <v>-0.15</v>
      </c>
    </row>
    <row r="135" spans="1:16" x14ac:dyDescent="0.3">
      <c r="A135" s="6">
        <v>46125</v>
      </c>
      <c r="B135" s="8">
        <f t="shared" si="28"/>
        <v>103</v>
      </c>
      <c r="C135" s="8">
        <f t="shared" si="29"/>
        <v>109</v>
      </c>
      <c r="D135" s="7">
        <f t="shared" si="30"/>
        <v>-0.15</v>
      </c>
      <c r="F135">
        <f t="shared" si="31"/>
        <v>0.15</v>
      </c>
      <c r="G135">
        <f t="shared" si="32"/>
        <v>0.12</v>
      </c>
      <c r="H135">
        <f t="shared" si="33"/>
        <v>0.09</v>
      </c>
      <c r="I135">
        <f t="shared" si="34"/>
        <v>0.06</v>
      </c>
      <c r="J135">
        <f t="shared" si="35"/>
        <v>0.03</v>
      </c>
      <c r="K135">
        <f t="shared" si="36"/>
        <v>0</v>
      </c>
      <c r="L135">
        <f t="shared" si="37"/>
        <v>-0.03</v>
      </c>
      <c r="M135">
        <f t="shared" si="38"/>
        <v>-0.06</v>
      </c>
      <c r="N135">
        <f t="shared" si="39"/>
        <v>-0.09</v>
      </c>
      <c r="O135">
        <f t="shared" si="40"/>
        <v>-0.12</v>
      </c>
      <c r="P135">
        <f t="shared" si="41"/>
        <v>-0.15</v>
      </c>
    </row>
    <row r="136" spans="1:16" x14ac:dyDescent="0.3">
      <c r="A136" s="6">
        <v>46126</v>
      </c>
      <c r="B136" s="8">
        <f t="shared" si="28"/>
        <v>104</v>
      </c>
      <c r="C136" s="8">
        <f t="shared" si="29"/>
        <v>110</v>
      </c>
      <c r="D136" s="7">
        <f t="shared" si="30"/>
        <v>-0.15</v>
      </c>
      <c r="F136">
        <f t="shared" si="31"/>
        <v>0.15</v>
      </c>
      <c r="G136">
        <f t="shared" si="32"/>
        <v>0.12</v>
      </c>
      <c r="H136">
        <f t="shared" si="33"/>
        <v>0.09</v>
      </c>
      <c r="I136">
        <f t="shared" si="34"/>
        <v>0.06</v>
      </c>
      <c r="J136">
        <f t="shared" si="35"/>
        <v>0.03</v>
      </c>
      <c r="K136">
        <f t="shared" si="36"/>
        <v>0</v>
      </c>
      <c r="L136">
        <f t="shared" si="37"/>
        <v>-0.03</v>
      </c>
      <c r="M136">
        <f t="shared" si="38"/>
        <v>-0.06</v>
      </c>
      <c r="N136">
        <f t="shared" si="39"/>
        <v>-0.09</v>
      </c>
      <c r="O136">
        <f t="shared" si="40"/>
        <v>-0.12</v>
      </c>
      <c r="P136">
        <f t="shared" si="41"/>
        <v>-0.15</v>
      </c>
    </row>
    <row r="137" spans="1:16" x14ac:dyDescent="0.3">
      <c r="A137" s="6">
        <v>46127</v>
      </c>
      <c r="B137" s="8">
        <f t="shared" si="28"/>
        <v>105</v>
      </c>
      <c r="C137" s="8">
        <f t="shared" si="29"/>
        <v>111</v>
      </c>
      <c r="D137" s="7">
        <f t="shared" si="30"/>
        <v>-0.15</v>
      </c>
      <c r="F137">
        <f t="shared" si="31"/>
        <v>0.15</v>
      </c>
      <c r="G137">
        <f t="shared" si="32"/>
        <v>0.12</v>
      </c>
      <c r="H137">
        <f t="shared" si="33"/>
        <v>0.09</v>
      </c>
      <c r="I137">
        <f t="shared" si="34"/>
        <v>0.06</v>
      </c>
      <c r="J137">
        <f t="shared" si="35"/>
        <v>0.03</v>
      </c>
      <c r="K137">
        <f t="shared" si="36"/>
        <v>0</v>
      </c>
      <c r="L137">
        <f t="shared" si="37"/>
        <v>-0.03</v>
      </c>
      <c r="M137">
        <f t="shared" si="38"/>
        <v>-0.06</v>
      </c>
      <c r="N137">
        <f t="shared" si="39"/>
        <v>-0.09</v>
      </c>
      <c r="O137">
        <f t="shared" si="40"/>
        <v>-0.12</v>
      </c>
      <c r="P137">
        <f t="shared" si="41"/>
        <v>-0.15</v>
      </c>
    </row>
    <row r="138" spans="1:16" x14ac:dyDescent="0.3">
      <c r="A138" s="6">
        <v>46128</v>
      </c>
      <c r="B138" s="8">
        <f t="shared" si="28"/>
        <v>106</v>
      </c>
      <c r="C138" s="8">
        <f t="shared" si="29"/>
        <v>112</v>
      </c>
      <c r="D138" s="7">
        <f t="shared" si="30"/>
        <v>-0.15</v>
      </c>
      <c r="F138">
        <f t="shared" si="31"/>
        <v>0.15</v>
      </c>
      <c r="G138">
        <f t="shared" si="32"/>
        <v>0.12</v>
      </c>
      <c r="H138">
        <f t="shared" si="33"/>
        <v>0.09</v>
      </c>
      <c r="I138">
        <f t="shared" si="34"/>
        <v>0.06</v>
      </c>
      <c r="J138">
        <f t="shared" si="35"/>
        <v>0.03</v>
      </c>
      <c r="K138">
        <f t="shared" si="36"/>
        <v>0</v>
      </c>
      <c r="L138">
        <f t="shared" si="37"/>
        <v>-0.03</v>
      </c>
      <c r="M138">
        <f t="shared" si="38"/>
        <v>-0.06</v>
      </c>
      <c r="N138">
        <f t="shared" si="39"/>
        <v>-0.09</v>
      </c>
      <c r="O138">
        <f t="shared" si="40"/>
        <v>-0.12</v>
      </c>
      <c r="P138">
        <f t="shared" si="41"/>
        <v>-0.15</v>
      </c>
    </row>
    <row r="139" spans="1:16" x14ac:dyDescent="0.3">
      <c r="A139" s="6">
        <v>46129</v>
      </c>
      <c r="B139" s="8">
        <f t="shared" si="28"/>
        <v>107</v>
      </c>
      <c r="C139" s="8">
        <f t="shared" si="29"/>
        <v>113</v>
      </c>
      <c r="D139" s="7">
        <f t="shared" si="30"/>
        <v>-0.15</v>
      </c>
      <c r="F139">
        <f t="shared" si="31"/>
        <v>0.15</v>
      </c>
      <c r="G139">
        <f t="shared" si="32"/>
        <v>0.12</v>
      </c>
      <c r="H139">
        <f t="shared" si="33"/>
        <v>0.09</v>
      </c>
      <c r="I139">
        <f t="shared" si="34"/>
        <v>0.06</v>
      </c>
      <c r="J139">
        <f t="shared" si="35"/>
        <v>0.03</v>
      </c>
      <c r="K139">
        <f t="shared" si="36"/>
        <v>0</v>
      </c>
      <c r="L139">
        <f t="shared" si="37"/>
        <v>-0.03</v>
      </c>
      <c r="M139">
        <f t="shared" si="38"/>
        <v>-0.06</v>
      </c>
      <c r="N139">
        <f t="shared" si="39"/>
        <v>-0.09</v>
      </c>
      <c r="O139">
        <f t="shared" si="40"/>
        <v>-0.12</v>
      </c>
      <c r="P139">
        <f t="shared" si="41"/>
        <v>-0.15</v>
      </c>
    </row>
    <row r="140" spans="1:16" x14ac:dyDescent="0.3">
      <c r="A140" s="6">
        <v>46130</v>
      </c>
      <c r="B140" s="8">
        <f t="shared" si="28"/>
        <v>108</v>
      </c>
      <c r="C140" s="8">
        <f t="shared" si="29"/>
        <v>114</v>
      </c>
      <c r="D140" s="7">
        <f t="shared" si="30"/>
        <v>-0.15</v>
      </c>
      <c r="F140">
        <f t="shared" si="31"/>
        <v>0.15</v>
      </c>
      <c r="G140">
        <f t="shared" si="32"/>
        <v>0.12</v>
      </c>
      <c r="H140">
        <f t="shared" si="33"/>
        <v>0.09</v>
      </c>
      <c r="I140">
        <f t="shared" si="34"/>
        <v>0.06</v>
      </c>
      <c r="J140">
        <f t="shared" si="35"/>
        <v>0.03</v>
      </c>
      <c r="K140">
        <f t="shared" si="36"/>
        <v>0</v>
      </c>
      <c r="L140">
        <f t="shared" si="37"/>
        <v>-0.03</v>
      </c>
      <c r="M140">
        <f t="shared" si="38"/>
        <v>-0.06</v>
      </c>
      <c r="N140">
        <f t="shared" si="39"/>
        <v>-0.09</v>
      </c>
      <c r="O140">
        <f t="shared" si="40"/>
        <v>-0.12</v>
      </c>
      <c r="P140">
        <f t="shared" si="41"/>
        <v>-0.15</v>
      </c>
    </row>
    <row r="141" spans="1:16" x14ac:dyDescent="0.3">
      <c r="A141" s="6">
        <v>46131</v>
      </c>
      <c r="B141" s="8">
        <f t="shared" si="28"/>
        <v>109</v>
      </c>
      <c r="C141" s="8">
        <f t="shared" si="29"/>
        <v>115</v>
      </c>
      <c r="D141" s="7">
        <f t="shared" si="30"/>
        <v>-0.15</v>
      </c>
      <c r="F141">
        <f t="shared" si="31"/>
        <v>0.15</v>
      </c>
      <c r="G141">
        <f t="shared" si="32"/>
        <v>0.12</v>
      </c>
      <c r="H141">
        <f t="shared" si="33"/>
        <v>0.09</v>
      </c>
      <c r="I141">
        <f t="shared" si="34"/>
        <v>0.06</v>
      </c>
      <c r="J141">
        <f t="shared" si="35"/>
        <v>0.03</v>
      </c>
      <c r="K141">
        <f t="shared" si="36"/>
        <v>0</v>
      </c>
      <c r="L141">
        <f t="shared" si="37"/>
        <v>-0.03</v>
      </c>
      <c r="M141">
        <f t="shared" si="38"/>
        <v>-0.06</v>
      </c>
      <c r="N141">
        <f t="shared" si="39"/>
        <v>-0.09</v>
      </c>
      <c r="O141">
        <f t="shared" si="40"/>
        <v>-0.12</v>
      </c>
      <c r="P141">
        <f t="shared" si="41"/>
        <v>-0.15</v>
      </c>
    </row>
    <row r="142" spans="1:16" x14ac:dyDescent="0.3">
      <c r="A142" s="6">
        <v>46132</v>
      </c>
      <c r="B142" s="8">
        <f t="shared" si="28"/>
        <v>110</v>
      </c>
      <c r="C142" s="8">
        <f t="shared" si="29"/>
        <v>116</v>
      </c>
      <c r="D142" s="7">
        <f t="shared" si="30"/>
        <v>-0.15</v>
      </c>
      <c r="F142">
        <f t="shared" si="31"/>
        <v>0.15</v>
      </c>
      <c r="G142">
        <f t="shared" si="32"/>
        <v>0.12</v>
      </c>
      <c r="H142">
        <f t="shared" si="33"/>
        <v>0.09</v>
      </c>
      <c r="I142">
        <f t="shared" si="34"/>
        <v>0.06</v>
      </c>
      <c r="J142">
        <f t="shared" si="35"/>
        <v>0.03</v>
      </c>
      <c r="K142">
        <f t="shared" si="36"/>
        <v>0</v>
      </c>
      <c r="L142">
        <f t="shared" si="37"/>
        <v>-0.03</v>
      </c>
      <c r="M142">
        <f t="shared" si="38"/>
        <v>-0.06</v>
      </c>
      <c r="N142">
        <f t="shared" si="39"/>
        <v>-0.09</v>
      </c>
      <c r="O142">
        <f t="shared" si="40"/>
        <v>-0.12</v>
      </c>
      <c r="P142">
        <f t="shared" si="41"/>
        <v>-0.15</v>
      </c>
    </row>
    <row r="143" spans="1:16" x14ac:dyDescent="0.3">
      <c r="A143" s="6">
        <v>46133</v>
      </c>
      <c r="B143" s="8">
        <f t="shared" si="28"/>
        <v>111</v>
      </c>
      <c r="C143" s="8">
        <f t="shared" si="29"/>
        <v>117</v>
      </c>
      <c r="D143" s="7">
        <f t="shared" si="30"/>
        <v>-0.15</v>
      </c>
      <c r="F143">
        <f t="shared" si="31"/>
        <v>0.15</v>
      </c>
      <c r="G143">
        <f t="shared" si="32"/>
        <v>0.12</v>
      </c>
      <c r="H143">
        <f t="shared" si="33"/>
        <v>0.09</v>
      </c>
      <c r="I143">
        <f t="shared" si="34"/>
        <v>0.06</v>
      </c>
      <c r="J143">
        <f t="shared" si="35"/>
        <v>0.03</v>
      </c>
      <c r="K143">
        <f t="shared" si="36"/>
        <v>0</v>
      </c>
      <c r="L143">
        <f t="shared" si="37"/>
        <v>-0.03</v>
      </c>
      <c r="M143">
        <f t="shared" si="38"/>
        <v>-0.06</v>
      </c>
      <c r="N143">
        <f t="shared" si="39"/>
        <v>-0.09</v>
      </c>
      <c r="O143">
        <f t="shared" si="40"/>
        <v>-0.12</v>
      </c>
      <c r="P143">
        <f t="shared" si="41"/>
        <v>-0.15</v>
      </c>
    </row>
    <row r="144" spans="1:16" x14ac:dyDescent="0.3">
      <c r="A144" s="6">
        <v>46134</v>
      </c>
      <c r="B144" s="8">
        <f t="shared" si="28"/>
        <v>112</v>
      </c>
      <c r="C144" s="8">
        <f t="shared" si="29"/>
        <v>118</v>
      </c>
      <c r="D144" s="7">
        <f t="shared" si="30"/>
        <v>-0.15</v>
      </c>
      <c r="F144">
        <f t="shared" si="31"/>
        <v>0.15</v>
      </c>
      <c r="G144">
        <f t="shared" si="32"/>
        <v>0.12</v>
      </c>
      <c r="H144">
        <f t="shared" si="33"/>
        <v>0.09</v>
      </c>
      <c r="I144">
        <f t="shared" si="34"/>
        <v>0.06</v>
      </c>
      <c r="J144">
        <f t="shared" si="35"/>
        <v>0.03</v>
      </c>
      <c r="K144">
        <f t="shared" si="36"/>
        <v>0</v>
      </c>
      <c r="L144">
        <f t="shared" si="37"/>
        <v>-0.03</v>
      </c>
      <c r="M144">
        <f t="shared" si="38"/>
        <v>-0.06</v>
      </c>
      <c r="N144">
        <f t="shared" si="39"/>
        <v>-0.09</v>
      </c>
      <c r="O144">
        <f t="shared" si="40"/>
        <v>-0.12</v>
      </c>
      <c r="P144">
        <f t="shared" si="41"/>
        <v>-0.15</v>
      </c>
    </row>
    <row r="145" spans="1:16" x14ac:dyDescent="0.3">
      <c r="A145" s="6">
        <v>46135</v>
      </c>
      <c r="B145" s="8">
        <f t="shared" si="28"/>
        <v>113</v>
      </c>
      <c r="C145" s="8">
        <f t="shared" si="29"/>
        <v>119</v>
      </c>
      <c r="D145" s="7">
        <f t="shared" si="30"/>
        <v>-0.15</v>
      </c>
      <c r="F145">
        <f t="shared" si="31"/>
        <v>0.15</v>
      </c>
      <c r="G145">
        <f t="shared" si="32"/>
        <v>0.12</v>
      </c>
      <c r="H145">
        <f t="shared" si="33"/>
        <v>0.09</v>
      </c>
      <c r="I145">
        <f t="shared" si="34"/>
        <v>0.06</v>
      </c>
      <c r="J145">
        <f t="shared" si="35"/>
        <v>0.03</v>
      </c>
      <c r="K145">
        <f t="shared" si="36"/>
        <v>0</v>
      </c>
      <c r="L145">
        <f t="shared" si="37"/>
        <v>-0.03</v>
      </c>
      <c r="M145">
        <f t="shared" si="38"/>
        <v>-0.06</v>
      </c>
      <c r="N145">
        <f t="shared" si="39"/>
        <v>-0.09</v>
      </c>
      <c r="O145">
        <f t="shared" si="40"/>
        <v>-0.12</v>
      </c>
      <c r="P145">
        <f t="shared" si="41"/>
        <v>-0.15</v>
      </c>
    </row>
    <row r="146" spans="1:16" x14ac:dyDescent="0.3">
      <c r="A146" s="6">
        <v>46136</v>
      </c>
      <c r="B146" s="8">
        <f t="shared" si="28"/>
        <v>114</v>
      </c>
      <c r="C146" s="8">
        <f t="shared" si="29"/>
        <v>120</v>
      </c>
      <c r="D146" s="7">
        <f t="shared" si="30"/>
        <v>-0.15</v>
      </c>
      <c r="F146">
        <f t="shared" si="31"/>
        <v>0.15</v>
      </c>
      <c r="G146">
        <f t="shared" si="32"/>
        <v>0.12</v>
      </c>
      <c r="H146">
        <f t="shared" si="33"/>
        <v>0.09</v>
      </c>
      <c r="I146">
        <f t="shared" si="34"/>
        <v>0.06</v>
      </c>
      <c r="J146">
        <f t="shared" si="35"/>
        <v>0.03</v>
      </c>
      <c r="K146">
        <f t="shared" si="36"/>
        <v>0</v>
      </c>
      <c r="L146">
        <f t="shared" si="37"/>
        <v>-0.03</v>
      </c>
      <c r="M146">
        <f t="shared" si="38"/>
        <v>-0.06</v>
      </c>
      <c r="N146">
        <f t="shared" si="39"/>
        <v>-0.09</v>
      </c>
      <c r="O146">
        <f t="shared" si="40"/>
        <v>-0.12</v>
      </c>
      <c r="P146">
        <f t="shared" si="41"/>
        <v>-0.15</v>
      </c>
    </row>
    <row r="147" spans="1:16" x14ac:dyDescent="0.3">
      <c r="A147" s="6">
        <v>46137</v>
      </c>
      <c r="B147" s="8">
        <f t="shared" si="28"/>
        <v>115</v>
      </c>
      <c r="C147" s="8">
        <f t="shared" si="29"/>
        <v>121</v>
      </c>
      <c r="D147" s="7">
        <f t="shared" si="30"/>
        <v>-0.15</v>
      </c>
      <c r="F147">
        <f t="shared" si="31"/>
        <v>0.15</v>
      </c>
      <c r="G147">
        <f t="shared" si="32"/>
        <v>0.12</v>
      </c>
      <c r="H147">
        <f t="shared" si="33"/>
        <v>0.09</v>
      </c>
      <c r="I147">
        <f t="shared" si="34"/>
        <v>0.06</v>
      </c>
      <c r="J147">
        <f t="shared" si="35"/>
        <v>0.03</v>
      </c>
      <c r="K147">
        <f t="shared" si="36"/>
        <v>0</v>
      </c>
      <c r="L147">
        <f t="shared" si="37"/>
        <v>-0.03</v>
      </c>
      <c r="M147">
        <f t="shared" si="38"/>
        <v>-0.06</v>
      </c>
      <c r="N147">
        <f t="shared" si="39"/>
        <v>-0.09</v>
      </c>
      <c r="O147">
        <f t="shared" si="40"/>
        <v>-0.12</v>
      </c>
      <c r="P147">
        <f t="shared" si="41"/>
        <v>-0.15</v>
      </c>
    </row>
    <row r="148" spans="1:16" x14ac:dyDescent="0.3">
      <c r="A148" s="6">
        <v>46138</v>
      </c>
      <c r="B148" s="8">
        <f t="shared" si="28"/>
        <v>116</v>
      </c>
      <c r="C148" s="8">
        <f t="shared" si="29"/>
        <v>122</v>
      </c>
      <c r="D148" s="7">
        <f t="shared" si="30"/>
        <v>-0.15</v>
      </c>
      <c r="F148">
        <f t="shared" si="31"/>
        <v>0.15</v>
      </c>
      <c r="G148">
        <f t="shared" si="32"/>
        <v>0.12</v>
      </c>
      <c r="H148">
        <f t="shared" si="33"/>
        <v>0.09</v>
      </c>
      <c r="I148">
        <f t="shared" si="34"/>
        <v>0.06</v>
      </c>
      <c r="J148">
        <f t="shared" si="35"/>
        <v>0.03</v>
      </c>
      <c r="K148">
        <f t="shared" si="36"/>
        <v>0</v>
      </c>
      <c r="L148">
        <f t="shared" si="37"/>
        <v>-0.03</v>
      </c>
      <c r="M148">
        <f t="shared" si="38"/>
        <v>-0.06</v>
      </c>
      <c r="N148">
        <f t="shared" si="39"/>
        <v>-0.09</v>
      </c>
      <c r="O148">
        <f t="shared" si="40"/>
        <v>-0.12</v>
      </c>
      <c r="P148">
        <f t="shared" si="41"/>
        <v>-0.15</v>
      </c>
    </row>
    <row r="149" spans="1:16" x14ac:dyDescent="0.3">
      <c r="A149" s="6">
        <v>46139</v>
      </c>
      <c r="B149" s="8">
        <f t="shared" si="28"/>
        <v>117</v>
      </c>
      <c r="C149" s="8">
        <f t="shared" si="29"/>
        <v>123</v>
      </c>
      <c r="D149" s="7">
        <f t="shared" si="30"/>
        <v>-0.15</v>
      </c>
      <c r="F149">
        <f t="shared" si="31"/>
        <v>0.15</v>
      </c>
      <c r="G149">
        <f t="shared" si="32"/>
        <v>0.12</v>
      </c>
      <c r="H149">
        <f t="shared" si="33"/>
        <v>0.09</v>
      </c>
      <c r="I149">
        <f t="shared" si="34"/>
        <v>0.06</v>
      </c>
      <c r="J149">
        <f t="shared" si="35"/>
        <v>0.03</v>
      </c>
      <c r="K149">
        <f t="shared" si="36"/>
        <v>0</v>
      </c>
      <c r="L149">
        <f t="shared" si="37"/>
        <v>-0.03</v>
      </c>
      <c r="M149">
        <f t="shared" si="38"/>
        <v>-0.06</v>
      </c>
      <c r="N149">
        <f t="shared" si="39"/>
        <v>-0.09</v>
      </c>
      <c r="O149">
        <f t="shared" si="40"/>
        <v>-0.12</v>
      </c>
      <c r="P149">
        <f t="shared" si="41"/>
        <v>-0.15</v>
      </c>
    </row>
    <row r="150" spans="1:16" x14ac:dyDescent="0.3">
      <c r="A150" s="6">
        <v>46140</v>
      </c>
      <c r="B150" s="8">
        <f t="shared" si="28"/>
        <v>118</v>
      </c>
      <c r="C150" s="8">
        <f t="shared" si="29"/>
        <v>124</v>
      </c>
      <c r="D150" s="7">
        <f t="shared" si="30"/>
        <v>-0.15</v>
      </c>
      <c r="F150">
        <f t="shared" si="31"/>
        <v>0.15</v>
      </c>
      <c r="G150">
        <f t="shared" si="32"/>
        <v>0.12</v>
      </c>
      <c r="H150">
        <f t="shared" si="33"/>
        <v>0.09</v>
      </c>
      <c r="I150">
        <f t="shared" si="34"/>
        <v>0.06</v>
      </c>
      <c r="J150">
        <f t="shared" si="35"/>
        <v>0.03</v>
      </c>
      <c r="K150">
        <f t="shared" si="36"/>
        <v>0</v>
      </c>
      <c r="L150">
        <f t="shared" si="37"/>
        <v>-0.03</v>
      </c>
      <c r="M150">
        <f t="shared" si="38"/>
        <v>-0.06</v>
      </c>
      <c r="N150">
        <f t="shared" si="39"/>
        <v>-0.09</v>
      </c>
      <c r="O150">
        <f t="shared" si="40"/>
        <v>-0.12</v>
      </c>
      <c r="P150">
        <f t="shared" si="41"/>
        <v>-0.15</v>
      </c>
    </row>
    <row r="151" spans="1:16" x14ac:dyDescent="0.3">
      <c r="A151" s="6">
        <v>46141</v>
      </c>
      <c r="B151" s="8">
        <f t="shared" si="28"/>
        <v>119</v>
      </c>
      <c r="C151" s="8">
        <f t="shared" si="29"/>
        <v>125</v>
      </c>
      <c r="D151" s="7">
        <f t="shared" si="30"/>
        <v>-0.15</v>
      </c>
      <c r="F151">
        <f t="shared" si="31"/>
        <v>0.15</v>
      </c>
      <c r="G151">
        <f t="shared" si="32"/>
        <v>0.12</v>
      </c>
      <c r="H151">
        <f t="shared" si="33"/>
        <v>0.09</v>
      </c>
      <c r="I151">
        <f t="shared" si="34"/>
        <v>0.06</v>
      </c>
      <c r="J151">
        <f t="shared" si="35"/>
        <v>0.03</v>
      </c>
      <c r="K151">
        <f t="shared" si="36"/>
        <v>0</v>
      </c>
      <c r="L151">
        <f t="shared" si="37"/>
        <v>-0.03</v>
      </c>
      <c r="M151">
        <f t="shared" si="38"/>
        <v>-0.06</v>
      </c>
      <c r="N151">
        <f t="shared" si="39"/>
        <v>-0.09</v>
      </c>
      <c r="O151">
        <f t="shared" si="40"/>
        <v>-0.12</v>
      </c>
      <c r="P151">
        <f t="shared" si="41"/>
        <v>-0.15</v>
      </c>
    </row>
    <row r="152" spans="1:16" x14ac:dyDescent="0.3">
      <c r="A152" s="6">
        <v>46142</v>
      </c>
      <c r="B152" s="8">
        <f t="shared" si="28"/>
        <v>120</v>
      </c>
      <c r="C152" s="8">
        <f t="shared" si="29"/>
        <v>126</v>
      </c>
      <c r="D152" s="7">
        <f t="shared" si="30"/>
        <v>-0.15</v>
      </c>
      <c r="F152">
        <f t="shared" si="31"/>
        <v>0.15</v>
      </c>
      <c r="G152">
        <f t="shared" si="32"/>
        <v>0.12</v>
      </c>
      <c r="H152">
        <f t="shared" si="33"/>
        <v>0.09</v>
      </c>
      <c r="I152">
        <f t="shared" si="34"/>
        <v>0.06</v>
      </c>
      <c r="J152">
        <f t="shared" si="35"/>
        <v>0.03</v>
      </c>
      <c r="K152">
        <f t="shared" si="36"/>
        <v>0</v>
      </c>
      <c r="L152">
        <f t="shared" si="37"/>
        <v>-0.03</v>
      </c>
      <c r="M152">
        <f t="shared" si="38"/>
        <v>-0.06</v>
      </c>
      <c r="N152">
        <f t="shared" si="39"/>
        <v>-0.09</v>
      </c>
      <c r="O152">
        <f t="shared" si="40"/>
        <v>-0.12</v>
      </c>
      <c r="P152">
        <f t="shared" si="41"/>
        <v>-0.15</v>
      </c>
    </row>
    <row r="153" spans="1:16" x14ac:dyDescent="0.3">
      <c r="A153" s="6">
        <v>46143</v>
      </c>
      <c r="B153" s="8">
        <f t="shared" si="28"/>
        <v>121</v>
      </c>
      <c r="C153" s="8">
        <f t="shared" si="29"/>
        <v>127</v>
      </c>
      <c r="D153" s="7">
        <f t="shared" si="30"/>
        <v>-0.15</v>
      </c>
      <c r="F153">
        <f t="shared" si="31"/>
        <v>0.15</v>
      </c>
      <c r="G153">
        <f t="shared" si="32"/>
        <v>0.12</v>
      </c>
      <c r="H153">
        <f t="shared" si="33"/>
        <v>0.09</v>
      </c>
      <c r="I153">
        <f t="shared" si="34"/>
        <v>0.06</v>
      </c>
      <c r="J153">
        <f t="shared" si="35"/>
        <v>0.03</v>
      </c>
      <c r="K153">
        <f t="shared" si="36"/>
        <v>0</v>
      </c>
      <c r="L153">
        <f t="shared" si="37"/>
        <v>-0.03</v>
      </c>
      <c r="M153">
        <f t="shared" si="38"/>
        <v>-0.06</v>
      </c>
      <c r="N153">
        <f t="shared" si="39"/>
        <v>-0.09</v>
      </c>
      <c r="O153">
        <f t="shared" si="40"/>
        <v>-0.12</v>
      </c>
      <c r="P153">
        <f t="shared" si="41"/>
        <v>-0.15</v>
      </c>
    </row>
    <row r="154" spans="1:16" x14ac:dyDescent="0.3">
      <c r="A154" s="6">
        <v>46144</v>
      </c>
      <c r="B154" s="8">
        <f t="shared" si="28"/>
        <v>122</v>
      </c>
      <c r="C154" s="8">
        <f t="shared" si="29"/>
        <v>128</v>
      </c>
      <c r="D154" s="7">
        <f t="shared" si="30"/>
        <v>-0.15</v>
      </c>
      <c r="F154">
        <f t="shared" si="31"/>
        <v>0.15</v>
      </c>
      <c r="G154">
        <f t="shared" si="32"/>
        <v>0.12</v>
      </c>
      <c r="H154">
        <f t="shared" si="33"/>
        <v>0.09</v>
      </c>
      <c r="I154">
        <f t="shared" si="34"/>
        <v>0.06</v>
      </c>
      <c r="J154">
        <f t="shared" si="35"/>
        <v>0.03</v>
      </c>
      <c r="K154">
        <f t="shared" si="36"/>
        <v>0</v>
      </c>
      <c r="L154">
        <f t="shared" si="37"/>
        <v>-0.03</v>
      </c>
      <c r="M154">
        <f t="shared" si="38"/>
        <v>-0.06</v>
      </c>
      <c r="N154">
        <f t="shared" si="39"/>
        <v>-0.09</v>
      </c>
      <c r="O154">
        <f t="shared" si="40"/>
        <v>-0.12</v>
      </c>
      <c r="P154">
        <f t="shared" si="41"/>
        <v>-0.15</v>
      </c>
    </row>
    <row r="155" spans="1:16" x14ac:dyDescent="0.3">
      <c r="A155" s="6">
        <v>46145</v>
      </c>
      <c r="B155" s="8">
        <f t="shared" si="28"/>
        <v>123</v>
      </c>
      <c r="C155" s="8">
        <f t="shared" si="29"/>
        <v>129</v>
      </c>
      <c r="D155" s="7">
        <f t="shared" si="30"/>
        <v>-0.15</v>
      </c>
      <c r="F155">
        <f t="shared" si="31"/>
        <v>0.15</v>
      </c>
      <c r="G155">
        <f t="shared" si="32"/>
        <v>0.12</v>
      </c>
      <c r="H155">
        <f t="shared" si="33"/>
        <v>0.09</v>
      </c>
      <c r="I155">
        <f t="shared" si="34"/>
        <v>0.06</v>
      </c>
      <c r="J155">
        <f t="shared" si="35"/>
        <v>0.03</v>
      </c>
      <c r="K155">
        <f t="shared" si="36"/>
        <v>0</v>
      </c>
      <c r="L155">
        <f t="shared" si="37"/>
        <v>-0.03</v>
      </c>
      <c r="M155">
        <f t="shared" si="38"/>
        <v>-0.06</v>
      </c>
      <c r="N155">
        <f t="shared" si="39"/>
        <v>-0.09</v>
      </c>
      <c r="O155">
        <f t="shared" si="40"/>
        <v>-0.12</v>
      </c>
      <c r="P155">
        <f t="shared" si="41"/>
        <v>-0.15</v>
      </c>
    </row>
    <row r="156" spans="1:16" x14ac:dyDescent="0.3">
      <c r="A156" s="6">
        <v>46146</v>
      </c>
      <c r="B156" s="8">
        <f t="shared" si="28"/>
        <v>124</v>
      </c>
      <c r="C156" s="8">
        <f t="shared" si="29"/>
        <v>130</v>
      </c>
      <c r="D156" s="7">
        <f t="shared" si="30"/>
        <v>-0.15</v>
      </c>
      <c r="F156">
        <f t="shared" si="31"/>
        <v>0.15</v>
      </c>
      <c r="G156">
        <f t="shared" si="32"/>
        <v>0.12</v>
      </c>
      <c r="H156">
        <f t="shared" si="33"/>
        <v>0.09</v>
      </c>
      <c r="I156">
        <f t="shared" si="34"/>
        <v>0.06</v>
      </c>
      <c r="J156">
        <f t="shared" si="35"/>
        <v>0.03</v>
      </c>
      <c r="K156">
        <f t="shared" si="36"/>
        <v>0</v>
      </c>
      <c r="L156">
        <f t="shared" si="37"/>
        <v>-0.03</v>
      </c>
      <c r="M156">
        <f t="shared" si="38"/>
        <v>-0.06</v>
      </c>
      <c r="N156">
        <f t="shared" si="39"/>
        <v>-0.09</v>
      </c>
      <c r="O156">
        <f t="shared" si="40"/>
        <v>-0.12</v>
      </c>
      <c r="P156">
        <f t="shared" si="41"/>
        <v>-0.15</v>
      </c>
    </row>
    <row r="157" spans="1:16" x14ac:dyDescent="0.3">
      <c r="A157" s="6">
        <v>46147</v>
      </c>
      <c r="B157" s="8">
        <f t="shared" si="28"/>
        <v>125</v>
      </c>
      <c r="C157" s="8">
        <f t="shared" si="29"/>
        <v>131</v>
      </c>
      <c r="D157" s="7">
        <f t="shared" si="30"/>
        <v>-0.15</v>
      </c>
      <c r="F157">
        <f t="shared" si="31"/>
        <v>0.15</v>
      </c>
      <c r="G157">
        <f t="shared" si="32"/>
        <v>0.12</v>
      </c>
      <c r="H157">
        <f t="shared" si="33"/>
        <v>0.09</v>
      </c>
      <c r="I157">
        <f t="shared" si="34"/>
        <v>0.06</v>
      </c>
      <c r="J157">
        <f t="shared" si="35"/>
        <v>0.03</v>
      </c>
      <c r="K157">
        <f t="shared" si="36"/>
        <v>0</v>
      </c>
      <c r="L157">
        <f t="shared" si="37"/>
        <v>-0.03</v>
      </c>
      <c r="M157">
        <f t="shared" si="38"/>
        <v>-0.06</v>
      </c>
      <c r="N157">
        <f t="shared" si="39"/>
        <v>-0.09</v>
      </c>
      <c r="O157">
        <f t="shared" si="40"/>
        <v>-0.12</v>
      </c>
      <c r="P157">
        <f t="shared" si="41"/>
        <v>-0.15</v>
      </c>
    </row>
    <row r="158" spans="1:16" x14ac:dyDescent="0.3">
      <c r="A158" s="6">
        <v>46148</v>
      </c>
      <c r="B158" s="8">
        <f t="shared" si="28"/>
        <v>126</v>
      </c>
      <c r="C158" s="8">
        <f t="shared" si="29"/>
        <v>132</v>
      </c>
      <c r="D158" s="7">
        <f t="shared" si="30"/>
        <v>-0.15</v>
      </c>
      <c r="F158">
        <f t="shared" si="31"/>
        <v>0.15</v>
      </c>
      <c r="G158">
        <f t="shared" si="32"/>
        <v>0.12</v>
      </c>
      <c r="H158">
        <f t="shared" si="33"/>
        <v>0.09</v>
      </c>
      <c r="I158">
        <f t="shared" si="34"/>
        <v>0.06</v>
      </c>
      <c r="J158">
        <f t="shared" si="35"/>
        <v>0.03</v>
      </c>
      <c r="K158">
        <f t="shared" si="36"/>
        <v>0</v>
      </c>
      <c r="L158">
        <f t="shared" si="37"/>
        <v>-0.03</v>
      </c>
      <c r="M158">
        <f t="shared" si="38"/>
        <v>-0.06</v>
      </c>
      <c r="N158">
        <f t="shared" si="39"/>
        <v>-0.09</v>
      </c>
      <c r="O158">
        <f t="shared" si="40"/>
        <v>-0.12</v>
      </c>
      <c r="P158">
        <f t="shared" si="41"/>
        <v>-0.15</v>
      </c>
    </row>
    <row r="159" spans="1:16" x14ac:dyDescent="0.3">
      <c r="A159" s="6">
        <v>46149</v>
      </c>
      <c r="B159" s="8">
        <f t="shared" si="28"/>
        <v>127</v>
      </c>
      <c r="C159" s="8">
        <f t="shared" si="29"/>
        <v>133</v>
      </c>
      <c r="D159" s="7">
        <f t="shared" si="30"/>
        <v>-0.15</v>
      </c>
      <c r="F159">
        <f t="shared" si="31"/>
        <v>0.15</v>
      </c>
      <c r="G159">
        <f t="shared" si="32"/>
        <v>0.12</v>
      </c>
      <c r="H159">
        <f t="shared" si="33"/>
        <v>0.09</v>
      </c>
      <c r="I159">
        <f t="shared" si="34"/>
        <v>0.06</v>
      </c>
      <c r="J159">
        <f t="shared" si="35"/>
        <v>0.03</v>
      </c>
      <c r="K159">
        <f t="shared" si="36"/>
        <v>0</v>
      </c>
      <c r="L159">
        <f t="shared" si="37"/>
        <v>-0.03</v>
      </c>
      <c r="M159">
        <f t="shared" si="38"/>
        <v>-0.06</v>
      </c>
      <c r="N159">
        <f t="shared" si="39"/>
        <v>-0.09</v>
      </c>
      <c r="O159">
        <f t="shared" si="40"/>
        <v>-0.12</v>
      </c>
      <c r="P159">
        <f t="shared" si="41"/>
        <v>-0.15</v>
      </c>
    </row>
    <row r="160" spans="1:16" x14ac:dyDescent="0.3">
      <c r="A160" s="6">
        <v>46150</v>
      </c>
      <c r="B160" s="8">
        <f t="shared" si="28"/>
        <v>128</v>
      </c>
      <c r="C160" s="8">
        <f t="shared" si="29"/>
        <v>134</v>
      </c>
      <c r="D160" s="7">
        <f t="shared" si="30"/>
        <v>-0.15</v>
      </c>
      <c r="F160">
        <f t="shared" si="31"/>
        <v>0.15</v>
      </c>
      <c r="G160">
        <f t="shared" si="32"/>
        <v>0.12</v>
      </c>
      <c r="H160">
        <f t="shared" si="33"/>
        <v>0.09</v>
      </c>
      <c r="I160">
        <f t="shared" si="34"/>
        <v>0.06</v>
      </c>
      <c r="J160">
        <f t="shared" si="35"/>
        <v>0.03</v>
      </c>
      <c r="K160">
        <f t="shared" si="36"/>
        <v>0</v>
      </c>
      <c r="L160">
        <f t="shared" si="37"/>
        <v>-0.03</v>
      </c>
      <c r="M160">
        <f t="shared" si="38"/>
        <v>-0.06</v>
      </c>
      <c r="N160">
        <f t="shared" si="39"/>
        <v>-0.09</v>
      </c>
      <c r="O160">
        <f t="shared" si="40"/>
        <v>-0.12</v>
      </c>
      <c r="P160">
        <f t="shared" si="41"/>
        <v>-0.15</v>
      </c>
    </row>
    <row r="161" spans="1:16" x14ac:dyDescent="0.3">
      <c r="A161" s="6">
        <v>46151</v>
      </c>
      <c r="B161" s="8">
        <f t="shared" si="28"/>
        <v>129</v>
      </c>
      <c r="C161" s="8">
        <f t="shared" si="29"/>
        <v>135</v>
      </c>
      <c r="D161" s="7">
        <f t="shared" si="30"/>
        <v>-0.15</v>
      </c>
      <c r="F161">
        <f t="shared" si="31"/>
        <v>0.15</v>
      </c>
      <c r="G161">
        <f t="shared" si="32"/>
        <v>0.12</v>
      </c>
      <c r="H161">
        <f t="shared" si="33"/>
        <v>0.09</v>
      </c>
      <c r="I161">
        <f t="shared" si="34"/>
        <v>0.06</v>
      </c>
      <c r="J161">
        <f t="shared" si="35"/>
        <v>0.03</v>
      </c>
      <c r="K161">
        <f t="shared" si="36"/>
        <v>0</v>
      </c>
      <c r="L161">
        <f t="shared" si="37"/>
        <v>-0.03</v>
      </c>
      <c r="M161">
        <f t="shared" si="38"/>
        <v>-0.06</v>
      </c>
      <c r="N161">
        <f t="shared" si="39"/>
        <v>-0.09</v>
      </c>
      <c r="O161">
        <f t="shared" si="40"/>
        <v>-0.12</v>
      </c>
      <c r="P161">
        <f t="shared" si="41"/>
        <v>-0.15</v>
      </c>
    </row>
    <row r="162" spans="1:16" x14ac:dyDescent="0.3">
      <c r="A162" s="6">
        <v>46152</v>
      </c>
      <c r="B162" s="8">
        <f t="shared" si="28"/>
        <v>130</v>
      </c>
      <c r="C162" s="8">
        <f t="shared" si="29"/>
        <v>136</v>
      </c>
      <c r="D162" s="7">
        <f t="shared" si="30"/>
        <v>-0.15</v>
      </c>
      <c r="F162">
        <f t="shared" si="31"/>
        <v>0.15</v>
      </c>
      <c r="G162">
        <f t="shared" si="32"/>
        <v>0.12</v>
      </c>
      <c r="H162">
        <f t="shared" si="33"/>
        <v>0.09</v>
      </c>
      <c r="I162">
        <f t="shared" si="34"/>
        <v>0.06</v>
      </c>
      <c r="J162">
        <f t="shared" si="35"/>
        <v>0.03</v>
      </c>
      <c r="K162">
        <f t="shared" si="36"/>
        <v>0</v>
      </c>
      <c r="L162">
        <f t="shared" si="37"/>
        <v>-0.03</v>
      </c>
      <c r="M162">
        <f t="shared" si="38"/>
        <v>-0.06</v>
      </c>
      <c r="N162">
        <f t="shared" si="39"/>
        <v>-0.09</v>
      </c>
      <c r="O162">
        <f t="shared" si="40"/>
        <v>-0.12</v>
      </c>
      <c r="P162">
        <f t="shared" si="41"/>
        <v>-0.15</v>
      </c>
    </row>
    <row r="163" spans="1:16" x14ac:dyDescent="0.3">
      <c r="A163" s="6">
        <v>46153</v>
      </c>
      <c r="B163" s="8">
        <f t="shared" si="28"/>
        <v>131</v>
      </c>
      <c r="C163" s="8">
        <f t="shared" si="29"/>
        <v>137</v>
      </c>
      <c r="D163" s="7">
        <f t="shared" si="30"/>
        <v>-0.15</v>
      </c>
      <c r="F163">
        <f t="shared" si="31"/>
        <v>0.15</v>
      </c>
      <c r="G163">
        <f t="shared" si="32"/>
        <v>0.12</v>
      </c>
      <c r="H163">
        <f t="shared" si="33"/>
        <v>0.09</v>
      </c>
      <c r="I163">
        <f t="shared" si="34"/>
        <v>0.06</v>
      </c>
      <c r="J163">
        <f t="shared" si="35"/>
        <v>0.03</v>
      </c>
      <c r="K163">
        <f t="shared" si="36"/>
        <v>0</v>
      </c>
      <c r="L163">
        <f t="shared" si="37"/>
        <v>-0.03</v>
      </c>
      <c r="M163">
        <f t="shared" si="38"/>
        <v>-0.06</v>
      </c>
      <c r="N163">
        <f t="shared" si="39"/>
        <v>-0.09</v>
      </c>
      <c r="O163">
        <f t="shared" si="40"/>
        <v>-0.12</v>
      </c>
      <c r="P163">
        <f t="shared" si="41"/>
        <v>-0.15</v>
      </c>
    </row>
    <row r="164" spans="1:16" x14ac:dyDescent="0.3">
      <c r="A164" s="6">
        <v>46154</v>
      </c>
      <c r="B164" s="8">
        <f t="shared" si="28"/>
        <v>132</v>
      </c>
      <c r="C164" s="8">
        <f t="shared" si="29"/>
        <v>138</v>
      </c>
      <c r="D164" s="7">
        <f t="shared" si="30"/>
        <v>-0.15</v>
      </c>
      <c r="F164">
        <f t="shared" si="31"/>
        <v>0.15</v>
      </c>
      <c r="G164">
        <f t="shared" si="32"/>
        <v>0.12</v>
      </c>
      <c r="H164">
        <f t="shared" si="33"/>
        <v>0.09</v>
      </c>
      <c r="I164">
        <f t="shared" si="34"/>
        <v>0.06</v>
      </c>
      <c r="J164">
        <f t="shared" si="35"/>
        <v>0.03</v>
      </c>
      <c r="K164">
        <f t="shared" si="36"/>
        <v>0</v>
      </c>
      <c r="L164">
        <f t="shared" si="37"/>
        <v>-0.03</v>
      </c>
      <c r="M164">
        <f t="shared" si="38"/>
        <v>-0.06</v>
      </c>
      <c r="N164">
        <f t="shared" si="39"/>
        <v>-0.09</v>
      </c>
      <c r="O164">
        <f t="shared" si="40"/>
        <v>-0.12</v>
      </c>
      <c r="P164">
        <f t="shared" si="41"/>
        <v>-0.15</v>
      </c>
    </row>
    <row r="165" spans="1:16" x14ac:dyDescent="0.3">
      <c r="A165" s="6">
        <v>46155</v>
      </c>
      <c r="B165" s="8">
        <f t="shared" si="28"/>
        <v>133</v>
      </c>
      <c r="C165" s="8">
        <f t="shared" si="29"/>
        <v>139</v>
      </c>
      <c r="D165" s="7">
        <f t="shared" si="30"/>
        <v>-0.15</v>
      </c>
      <c r="F165">
        <f t="shared" si="31"/>
        <v>0.15</v>
      </c>
      <c r="G165">
        <f t="shared" si="32"/>
        <v>0.12</v>
      </c>
      <c r="H165">
        <f t="shared" si="33"/>
        <v>0.09</v>
      </c>
      <c r="I165">
        <f t="shared" si="34"/>
        <v>0.06</v>
      </c>
      <c r="J165">
        <f t="shared" si="35"/>
        <v>0.03</v>
      </c>
      <c r="K165">
        <f t="shared" si="36"/>
        <v>0</v>
      </c>
      <c r="L165">
        <f t="shared" si="37"/>
        <v>-0.03</v>
      </c>
      <c r="M165">
        <f t="shared" si="38"/>
        <v>-0.06</v>
      </c>
      <c r="N165">
        <f t="shared" si="39"/>
        <v>-0.09</v>
      </c>
      <c r="O165">
        <f t="shared" si="40"/>
        <v>-0.12</v>
      </c>
      <c r="P165">
        <f t="shared" si="41"/>
        <v>-0.15</v>
      </c>
    </row>
    <row r="166" spans="1:16" x14ac:dyDescent="0.3">
      <c r="A166" s="6">
        <v>46156</v>
      </c>
      <c r="B166" s="8">
        <f t="shared" si="28"/>
        <v>134</v>
      </c>
      <c r="C166" s="8">
        <f t="shared" si="29"/>
        <v>140</v>
      </c>
      <c r="D166" s="7">
        <f t="shared" si="30"/>
        <v>-0.15</v>
      </c>
      <c r="F166">
        <f t="shared" si="31"/>
        <v>0.15</v>
      </c>
      <c r="G166">
        <f t="shared" si="32"/>
        <v>0.12</v>
      </c>
      <c r="H166">
        <f t="shared" si="33"/>
        <v>0.09</v>
      </c>
      <c r="I166">
        <f t="shared" si="34"/>
        <v>0.06</v>
      </c>
      <c r="J166">
        <f t="shared" si="35"/>
        <v>0.03</v>
      </c>
      <c r="K166">
        <f t="shared" si="36"/>
        <v>0</v>
      </c>
      <c r="L166">
        <f t="shared" si="37"/>
        <v>-0.03</v>
      </c>
      <c r="M166">
        <f t="shared" si="38"/>
        <v>-0.06</v>
      </c>
      <c r="N166">
        <f t="shared" si="39"/>
        <v>-0.09</v>
      </c>
      <c r="O166">
        <f t="shared" si="40"/>
        <v>-0.12</v>
      </c>
      <c r="P166">
        <f t="shared" si="41"/>
        <v>-0.15</v>
      </c>
    </row>
    <row r="167" spans="1:16" x14ac:dyDescent="0.3">
      <c r="A167" s="6">
        <v>46157</v>
      </c>
      <c r="B167" s="8">
        <f t="shared" si="28"/>
        <v>135</v>
      </c>
      <c r="C167" s="8">
        <f t="shared" si="29"/>
        <v>141</v>
      </c>
      <c r="D167" s="7">
        <f t="shared" si="30"/>
        <v>-0.15</v>
      </c>
      <c r="F167">
        <f t="shared" si="31"/>
        <v>0.15</v>
      </c>
      <c r="G167">
        <f t="shared" si="32"/>
        <v>0.12</v>
      </c>
      <c r="H167">
        <f t="shared" si="33"/>
        <v>0.09</v>
      </c>
      <c r="I167">
        <f t="shared" si="34"/>
        <v>0.06</v>
      </c>
      <c r="J167">
        <f t="shared" si="35"/>
        <v>0.03</v>
      </c>
      <c r="K167">
        <f t="shared" si="36"/>
        <v>0</v>
      </c>
      <c r="L167">
        <f t="shared" si="37"/>
        <v>-0.03</v>
      </c>
      <c r="M167">
        <f t="shared" si="38"/>
        <v>-0.06</v>
      </c>
      <c r="N167">
        <f t="shared" si="39"/>
        <v>-0.09</v>
      </c>
      <c r="O167">
        <f t="shared" si="40"/>
        <v>-0.12</v>
      </c>
      <c r="P167">
        <f t="shared" si="41"/>
        <v>-0.15</v>
      </c>
    </row>
    <row r="168" spans="1:16" x14ac:dyDescent="0.3">
      <c r="A168" s="6">
        <v>46158</v>
      </c>
      <c r="B168" s="8">
        <f t="shared" si="28"/>
        <v>136</v>
      </c>
      <c r="C168" s="8">
        <f t="shared" si="29"/>
        <v>142</v>
      </c>
      <c r="D168" s="7">
        <f t="shared" si="30"/>
        <v>-0.15</v>
      </c>
      <c r="F168">
        <f t="shared" si="31"/>
        <v>0.15</v>
      </c>
      <c r="G168">
        <f t="shared" si="32"/>
        <v>0.12</v>
      </c>
      <c r="H168">
        <f t="shared" si="33"/>
        <v>0.09</v>
      </c>
      <c r="I168">
        <f t="shared" si="34"/>
        <v>0.06</v>
      </c>
      <c r="J168">
        <f t="shared" si="35"/>
        <v>0.03</v>
      </c>
      <c r="K168">
        <f t="shared" si="36"/>
        <v>0</v>
      </c>
      <c r="L168">
        <f t="shared" si="37"/>
        <v>-0.03</v>
      </c>
      <c r="M168">
        <f t="shared" si="38"/>
        <v>-0.06</v>
      </c>
      <c r="N168">
        <f t="shared" si="39"/>
        <v>-0.09</v>
      </c>
      <c r="O168">
        <f t="shared" si="40"/>
        <v>-0.12</v>
      </c>
      <c r="P168">
        <f t="shared" si="41"/>
        <v>-0.15</v>
      </c>
    </row>
    <row r="169" spans="1:16" x14ac:dyDescent="0.3">
      <c r="A169" s="6">
        <v>46159</v>
      </c>
      <c r="B169" s="8">
        <f t="shared" si="28"/>
        <v>137</v>
      </c>
      <c r="C169" s="8">
        <f t="shared" si="29"/>
        <v>143</v>
      </c>
      <c r="D169" s="7">
        <f t="shared" si="30"/>
        <v>-0.15</v>
      </c>
      <c r="F169">
        <f t="shared" si="31"/>
        <v>0.15</v>
      </c>
      <c r="G169">
        <f t="shared" si="32"/>
        <v>0.12</v>
      </c>
      <c r="H169">
        <f t="shared" si="33"/>
        <v>0.09</v>
      </c>
      <c r="I169">
        <f t="shared" si="34"/>
        <v>0.06</v>
      </c>
      <c r="J169">
        <f t="shared" si="35"/>
        <v>0.03</v>
      </c>
      <c r="K169">
        <f t="shared" si="36"/>
        <v>0</v>
      </c>
      <c r="L169">
        <f t="shared" si="37"/>
        <v>-0.03</v>
      </c>
      <c r="M169">
        <f t="shared" si="38"/>
        <v>-0.06</v>
      </c>
      <c r="N169">
        <f t="shared" si="39"/>
        <v>-0.09</v>
      </c>
      <c r="O169">
        <f t="shared" si="40"/>
        <v>-0.12</v>
      </c>
      <c r="P169">
        <f t="shared" si="41"/>
        <v>-0.15</v>
      </c>
    </row>
    <row r="170" spans="1:16" x14ac:dyDescent="0.3">
      <c r="A170" s="6">
        <v>46160</v>
      </c>
      <c r="B170" s="8">
        <f t="shared" si="28"/>
        <v>138</v>
      </c>
      <c r="C170" s="8">
        <f t="shared" si="29"/>
        <v>144</v>
      </c>
      <c r="D170" s="7">
        <f t="shared" si="30"/>
        <v>-0.15</v>
      </c>
      <c r="F170">
        <f t="shared" si="31"/>
        <v>0.15</v>
      </c>
      <c r="G170">
        <f t="shared" si="32"/>
        <v>0.12</v>
      </c>
      <c r="H170">
        <f t="shared" si="33"/>
        <v>0.09</v>
      </c>
      <c r="I170">
        <f t="shared" si="34"/>
        <v>0.06</v>
      </c>
      <c r="J170">
        <f t="shared" si="35"/>
        <v>0.03</v>
      </c>
      <c r="K170">
        <f t="shared" si="36"/>
        <v>0</v>
      </c>
      <c r="L170">
        <f t="shared" si="37"/>
        <v>-0.03</v>
      </c>
      <c r="M170">
        <f t="shared" si="38"/>
        <v>-0.06</v>
      </c>
      <c r="N170">
        <f t="shared" si="39"/>
        <v>-0.09</v>
      </c>
      <c r="O170">
        <f t="shared" si="40"/>
        <v>-0.12</v>
      </c>
      <c r="P170">
        <f t="shared" si="41"/>
        <v>-0.15</v>
      </c>
    </row>
    <row r="171" spans="1:16" x14ac:dyDescent="0.3">
      <c r="A171" s="6">
        <v>46161</v>
      </c>
      <c r="B171" s="8">
        <f t="shared" si="28"/>
        <v>139</v>
      </c>
      <c r="C171" s="8">
        <f t="shared" si="29"/>
        <v>145</v>
      </c>
      <c r="D171" s="7">
        <f t="shared" si="30"/>
        <v>-0.15</v>
      </c>
      <c r="F171">
        <f t="shared" si="31"/>
        <v>0.15</v>
      </c>
      <c r="G171">
        <f t="shared" si="32"/>
        <v>0.12</v>
      </c>
      <c r="H171">
        <f t="shared" si="33"/>
        <v>0.09</v>
      </c>
      <c r="I171">
        <f t="shared" si="34"/>
        <v>0.06</v>
      </c>
      <c r="J171">
        <f t="shared" si="35"/>
        <v>0.03</v>
      </c>
      <c r="K171">
        <f t="shared" si="36"/>
        <v>0</v>
      </c>
      <c r="L171">
        <f t="shared" si="37"/>
        <v>-0.03</v>
      </c>
      <c r="M171">
        <f t="shared" si="38"/>
        <v>-0.06</v>
      </c>
      <c r="N171">
        <f t="shared" si="39"/>
        <v>-0.09</v>
      </c>
      <c r="O171">
        <f t="shared" si="40"/>
        <v>-0.12</v>
      </c>
      <c r="P171">
        <f t="shared" si="41"/>
        <v>-0.15</v>
      </c>
    </row>
    <row r="172" spans="1:16" x14ac:dyDescent="0.3">
      <c r="A172" s="6">
        <v>46162</v>
      </c>
      <c r="B172" s="8">
        <f t="shared" si="28"/>
        <v>140</v>
      </c>
      <c r="C172" s="8">
        <f t="shared" si="29"/>
        <v>146</v>
      </c>
      <c r="D172" s="7">
        <f t="shared" si="30"/>
        <v>-0.15</v>
      </c>
      <c r="F172">
        <f t="shared" si="31"/>
        <v>0.15</v>
      </c>
      <c r="G172">
        <f t="shared" si="32"/>
        <v>0.12</v>
      </c>
      <c r="H172">
        <f t="shared" si="33"/>
        <v>0.09</v>
      </c>
      <c r="I172">
        <f t="shared" si="34"/>
        <v>0.06</v>
      </c>
      <c r="J172">
        <f t="shared" si="35"/>
        <v>0.03</v>
      </c>
      <c r="K172">
        <f t="shared" si="36"/>
        <v>0</v>
      </c>
      <c r="L172">
        <f t="shared" si="37"/>
        <v>-0.03</v>
      </c>
      <c r="M172">
        <f t="shared" si="38"/>
        <v>-0.06</v>
      </c>
      <c r="N172">
        <f t="shared" si="39"/>
        <v>-0.09</v>
      </c>
      <c r="O172">
        <f t="shared" si="40"/>
        <v>-0.12</v>
      </c>
      <c r="P172">
        <f t="shared" si="41"/>
        <v>-0.15</v>
      </c>
    </row>
    <row r="173" spans="1:16" x14ac:dyDescent="0.3">
      <c r="A173" s="6">
        <v>46163</v>
      </c>
      <c r="B173" s="8">
        <f t="shared" si="28"/>
        <v>141</v>
      </c>
      <c r="C173" s="8">
        <f t="shared" si="29"/>
        <v>147</v>
      </c>
      <c r="D173" s="7">
        <f t="shared" si="30"/>
        <v>-0.15</v>
      </c>
      <c r="F173">
        <f t="shared" si="31"/>
        <v>0.15</v>
      </c>
      <c r="G173">
        <f t="shared" si="32"/>
        <v>0.12</v>
      </c>
      <c r="H173">
        <f t="shared" si="33"/>
        <v>0.09</v>
      </c>
      <c r="I173">
        <f t="shared" si="34"/>
        <v>0.06</v>
      </c>
      <c r="J173">
        <f t="shared" si="35"/>
        <v>0.03</v>
      </c>
      <c r="K173">
        <f t="shared" si="36"/>
        <v>0</v>
      </c>
      <c r="L173">
        <f t="shared" si="37"/>
        <v>-0.03</v>
      </c>
      <c r="M173">
        <f t="shared" si="38"/>
        <v>-0.06</v>
      </c>
      <c r="N173">
        <f t="shared" si="39"/>
        <v>-0.09</v>
      </c>
      <c r="O173">
        <f t="shared" si="40"/>
        <v>-0.12</v>
      </c>
      <c r="P173">
        <f t="shared" si="41"/>
        <v>-0.15</v>
      </c>
    </row>
    <row r="174" spans="1:16" x14ac:dyDescent="0.3">
      <c r="A174" s="6">
        <v>46164</v>
      </c>
      <c r="B174" s="8">
        <f t="shared" si="28"/>
        <v>142</v>
      </c>
      <c r="C174" s="8">
        <f t="shared" si="29"/>
        <v>148</v>
      </c>
      <c r="D174" s="7">
        <f t="shared" si="30"/>
        <v>-0.15</v>
      </c>
      <c r="F174">
        <f t="shared" si="31"/>
        <v>0.15</v>
      </c>
      <c r="G174">
        <f t="shared" si="32"/>
        <v>0.12</v>
      </c>
      <c r="H174">
        <f t="shared" si="33"/>
        <v>0.09</v>
      </c>
      <c r="I174">
        <f t="shared" si="34"/>
        <v>0.06</v>
      </c>
      <c r="J174">
        <f t="shared" si="35"/>
        <v>0.03</v>
      </c>
      <c r="K174">
        <f t="shared" si="36"/>
        <v>0</v>
      </c>
      <c r="L174">
        <f t="shared" si="37"/>
        <v>-0.03</v>
      </c>
      <c r="M174">
        <f t="shared" si="38"/>
        <v>-0.06</v>
      </c>
      <c r="N174">
        <f t="shared" si="39"/>
        <v>-0.09</v>
      </c>
      <c r="O174">
        <f t="shared" si="40"/>
        <v>-0.12</v>
      </c>
      <c r="P174">
        <f t="shared" si="41"/>
        <v>-0.15</v>
      </c>
    </row>
    <row r="175" spans="1:16" x14ac:dyDescent="0.3">
      <c r="A175" s="6">
        <v>46165</v>
      </c>
      <c r="B175" s="8">
        <f t="shared" si="28"/>
        <v>143</v>
      </c>
      <c r="C175" s="8">
        <f t="shared" si="29"/>
        <v>149</v>
      </c>
      <c r="D175" s="7">
        <f t="shared" si="30"/>
        <v>-0.15</v>
      </c>
      <c r="F175">
        <f t="shared" si="31"/>
        <v>0.15</v>
      </c>
      <c r="G175">
        <f t="shared" si="32"/>
        <v>0.12</v>
      </c>
      <c r="H175">
        <f t="shared" si="33"/>
        <v>0.09</v>
      </c>
      <c r="I175">
        <f t="shared" si="34"/>
        <v>0.06</v>
      </c>
      <c r="J175">
        <f t="shared" si="35"/>
        <v>0.03</v>
      </c>
      <c r="K175">
        <f t="shared" si="36"/>
        <v>0</v>
      </c>
      <c r="L175">
        <f t="shared" si="37"/>
        <v>-0.03</v>
      </c>
      <c r="M175">
        <f t="shared" si="38"/>
        <v>-0.06</v>
      </c>
      <c r="N175">
        <f t="shared" si="39"/>
        <v>-0.09</v>
      </c>
      <c r="O175">
        <f t="shared" si="40"/>
        <v>-0.12</v>
      </c>
      <c r="P175">
        <f t="shared" si="41"/>
        <v>-0.15</v>
      </c>
    </row>
    <row r="176" spans="1:16" x14ac:dyDescent="0.3">
      <c r="A176" s="6">
        <v>46166</v>
      </c>
      <c r="B176" s="8">
        <f t="shared" si="28"/>
        <v>144</v>
      </c>
      <c r="C176" s="8">
        <f t="shared" si="29"/>
        <v>150</v>
      </c>
      <c r="D176" s="7">
        <f t="shared" si="30"/>
        <v>-0.15</v>
      </c>
      <c r="F176">
        <f t="shared" si="31"/>
        <v>0.15</v>
      </c>
      <c r="G176">
        <f t="shared" si="32"/>
        <v>0.12</v>
      </c>
      <c r="H176">
        <f t="shared" si="33"/>
        <v>0.09</v>
      </c>
      <c r="I176">
        <f t="shared" si="34"/>
        <v>0.06</v>
      </c>
      <c r="J176">
        <f t="shared" si="35"/>
        <v>0.03</v>
      </c>
      <c r="K176">
        <f t="shared" si="36"/>
        <v>0</v>
      </c>
      <c r="L176">
        <f t="shared" si="37"/>
        <v>-0.03</v>
      </c>
      <c r="M176">
        <f t="shared" si="38"/>
        <v>-0.06</v>
      </c>
      <c r="N176">
        <f t="shared" si="39"/>
        <v>-0.09</v>
      </c>
      <c r="O176">
        <f t="shared" si="40"/>
        <v>-0.12</v>
      </c>
      <c r="P176">
        <f t="shared" si="41"/>
        <v>-0.15</v>
      </c>
    </row>
    <row r="177" spans="1:16" x14ac:dyDescent="0.3">
      <c r="A177" s="6">
        <v>46167</v>
      </c>
      <c r="B177" s="8">
        <f t="shared" si="28"/>
        <v>145</v>
      </c>
      <c r="C177" s="8">
        <f t="shared" si="29"/>
        <v>151</v>
      </c>
      <c r="D177" s="7">
        <f t="shared" si="30"/>
        <v>-0.15</v>
      </c>
      <c r="F177">
        <f t="shared" si="31"/>
        <v>0.15</v>
      </c>
      <c r="G177">
        <f t="shared" si="32"/>
        <v>0.12</v>
      </c>
      <c r="H177">
        <f t="shared" si="33"/>
        <v>0.09</v>
      </c>
      <c r="I177">
        <f t="shared" si="34"/>
        <v>0.06</v>
      </c>
      <c r="J177">
        <f t="shared" si="35"/>
        <v>0.03</v>
      </c>
      <c r="K177">
        <f t="shared" si="36"/>
        <v>0</v>
      </c>
      <c r="L177">
        <f t="shared" si="37"/>
        <v>-0.03</v>
      </c>
      <c r="M177">
        <f t="shared" si="38"/>
        <v>-0.06</v>
      </c>
      <c r="N177">
        <f t="shared" si="39"/>
        <v>-0.09</v>
      </c>
      <c r="O177">
        <f t="shared" si="40"/>
        <v>-0.12</v>
      </c>
      <c r="P177">
        <f t="shared" si="41"/>
        <v>-0.15</v>
      </c>
    </row>
    <row r="178" spans="1:16" x14ac:dyDescent="0.3">
      <c r="A178" s="6">
        <v>46168</v>
      </c>
      <c r="B178" s="8">
        <f t="shared" si="28"/>
        <v>146</v>
      </c>
      <c r="C178" s="8">
        <f t="shared" si="29"/>
        <v>152</v>
      </c>
      <c r="D178" s="7">
        <f t="shared" si="30"/>
        <v>-0.15</v>
      </c>
      <c r="F178">
        <f t="shared" si="31"/>
        <v>0.15</v>
      </c>
      <c r="G178">
        <f t="shared" si="32"/>
        <v>0.12</v>
      </c>
      <c r="H178">
        <f t="shared" si="33"/>
        <v>0.09</v>
      </c>
      <c r="I178">
        <f t="shared" si="34"/>
        <v>0.06</v>
      </c>
      <c r="J178">
        <f t="shared" si="35"/>
        <v>0.03</v>
      </c>
      <c r="K178">
        <f t="shared" si="36"/>
        <v>0</v>
      </c>
      <c r="L178">
        <f t="shared" si="37"/>
        <v>-0.03</v>
      </c>
      <c r="M178">
        <f t="shared" si="38"/>
        <v>-0.06</v>
      </c>
      <c r="N178">
        <f t="shared" si="39"/>
        <v>-0.09</v>
      </c>
      <c r="O178">
        <f t="shared" si="40"/>
        <v>-0.12</v>
      </c>
      <c r="P178">
        <f t="shared" si="41"/>
        <v>-0.15</v>
      </c>
    </row>
    <row r="179" spans="1:16" x14ac:dyDescent="0.3">
      <c r="A179" s="6">
        <v>46169</v>
      </c>
      <c r="B179" s="8">
        <f t="shared" si="28"/>
        <v>147</v>
      </c>
      <c r="C179" s="8">
        <f t="shared" si="29"/>
        <v>153</v>
      </c>
      <c r="D179" s="7">
        <f t="shared" si="30"/>
        <v>-0.15</v>
      </c>
      <c r="F179">
        <f t="shared" si="31"/>
        <v>0.15</v>
      </c>
      <c r="G179">
        <f t="shared" si="32"/>
        <v>0.12</v>
      </c>
      <c r="H179">
        <f t="shared" si="33"/>
        <v>0.09</v>
      </c>
      <c r="I179">
        <f t="shared" si="34"/>
        <v>0.06</v>
      </c>
      <c r="J179">
        <f t="shared" si="35"/>
        <v>0.03</v>
      </c>
      <c r="K179">
        <f t="shared" si="36"/>
        <v>0</v>
      </c>
      <c r="L179">
        <f t="shared" si="37"/>
        <v>-0.03</v>
      </c>
      <c r="M179">
        <f t="shared" si="38"/>
        <v>-0.06</v>
      </c>
      <c r="N179">
        <f t="shared" si="39"/>
        <v>-0.09</v>
      </c>
      <c r="O179">
        <f t="shared" si="40"/>
        <v>-0.12</v>
      </c>
      <c r="P179">
        <f t="shared" si="41"/>
        <v>-0.15</v>
      </c>
    </row>
    <row r="180" spans="1:16" x14ac:dyDescent="0.3">
      <c r="A180" s="6">
        <v>46170</v>
      </c>
      <c r="B180" s="8">
        <f t="shared" si="28"/>
        <v>148</v>
      </c>
      <c r="C180" s="8">
        <f t="shared" si="29"/>
        <v>154</v>
      </c>
      <c r="D180" s="7">
        <f t="shared" si="30"/>
        <v>-0.15</v>
      </c>
      <c r="F180">
        <f t="shared" si="31"/>
        <v>0.15</v>
      </c>
      <c r="G180">
        <f t="shared" si="32"/>
        <v>0.12</v>
      </c>
      <c r="H180">
        <f t="shared" si="33"/>
        <v>0.09</v>
      </c>
      <c r="I180">
        <f t="shared" si="34"/>
        <v>0.06</v>
      </c>
      <c r="J180">
        <f t="shared" si="35"/>
        <v>0.03</v>
      </c>
      <c r="K180">
        <f t="shared" si="36"/>
        <v>0</v>
      </c>
      <c r="L180">
        <f t="shared" si="37"/>
        <v>-0.03</v>
      </c>
      <c r="M180">
        <f t="shared" si="38"/>
        <v>-0.06</v>
      </c>
      <c r="N180">
        <f t="shared" si="39"/>
        <v>-0.09</v>
      </c>
      <c r="O180">
        <f t="shared" si="40"/>
        <v>-0.12</v>
      </c>
      <c r="P180">
        <f t="shared" si="41"/>
        <v>-0.15</v>
      </c>
    </row>
    <row r="181" spans="1:16" x14ac:dyDescent="0.3">
      <c r="A181" s="6">
        <v>46171</v>
      </c>
      <c r="B181" s="8">
        <f t="shared" si="28"/>
        <v>149</v>
      </c>
      <c r="C181" s="8">
        <f t="shared" si="29"/>
        <v>155</v>
      </c>
      <c r="D181" s="7">
        <f t="shared" si="30"/>
        <v>-0.15</v>
      </c>
      <c r="F181">
        <f t="shared" si="31"/>
        <v>0.15</v>
      </c>
      <c r="G181">
        <f t="shared" si="32"/>
        <v>0.12</v>
      </c>
      <c r="H181">
        <f t="shared" si="33"/>
        <v>0.09</v>
      </c>
      <c r="I181">
        <f t="shared" si="34"/>
        <v>0.06</v>
      </c>
      <c r="J181">
        <f t="shared" si="35"/>
        <v>0.03</v>
      </c>
      <c r="K181">
        <f t="shared" si="36"/>
        <v>0</v>
      </c>
      <c r="L181">
        <f t="shared" si="37"/>
        <v>-0.03</v>
      </c>
      <c r="M181">
        <f t="shared" si="38"/>
        <v>-0.06</v>
      </c>
      <c r="N181">
        <f t="shared" si="39"/>
        <v>-0.09</v>
      </c>
      <c r="O181">
        <f t="shared" si="40"/>
        <v>-0.12</v>
      </c>
      <c r="P181">
        <f t="shared" si="41"/>
        <v>-0.15</v>
      </c>
    </row>
    <row r="182" spans="1:16" x14ac:dyDescent="0.3">
      <c r="A182" s="6">
        <v>46172</v>
      </c>
      <c r="B182" s="8">
        <f t="shared" si="28"/>
        <v>150</v>
      </c>
      <c r="C182" s="8">
        <f t="shared" si="29"/>
        <v>156</v>
      </c>
      <c r="D182" s="7">
        <f t="shared" si="30"/>
        <v>-0.15</v>
      </c>
      <c r="F182">
        <f t="shared" si="31"/>
        <v>0.15</v>
      </c>
      <c r="G182">
        <f t="shared" si="32"/>
        <v>0.12</v>
      </c>
      <c r="H182">
        <f t="shared" si="33"/>
        <v>0.09</v>
      </c>
      <c r="I182">
        <f t="shared" si="34"/>
        <v>0.06</v>
      </c>
      <c r="J182">
        <f t="shared" si="35"/>
        <v>0.03</v>
      </c>
      <c r="K182">
        <f t="shared" si="36"/>
        <v>0</v>
      </c>
      <c r="L182">
        <f t="shared" si="37"/>
        <v>-0.03</v>
      </c>
      <c r="M182">
        <f t="shared" si="38"/>
        <v>-0.06</v>
      </c>
      <c r="N182">
        <f t="shared" si="39"/>
        <v>-0.09</v>
      </c>
      <c r="O182">
        <f t="shared" si="40"/>
        <v>-0.12</v>
      </c>
      <c r="P182">
        <f t="shared" si="41"/>
        <v>-0.15</v>
      </c>
    </row>
    <row r="183" spans="1:16" x14ac:dyDescent="0.3">
      <c r="A183" s="6">
        <v>46173</v>
      </c>
      <c r="B183" s="8">
        <f t="shared" si="28"/>
        <v>151</v>
      </c>
      <c r="C183" s="8">
        <f t="shared" si="29"/>
        <v>157</v>
      </c>
      <c r="D183" s="7">
        <f t="shared" si="30"/>
        <v>-0.15</v>
      </c>
      <c r="F183">
        <f t="shared" si="31"/>
        <v>0.15</v>
      </c>
      <c r="G183">
        <f t="shared" si="32"/>
        <v>0.12</v>
      </c>
      <c r="H183">
        <f t="shared" si="33"/>
        <v>0.09</v>
      </c>
      <c r="I183">
        <f t="shared" si="34"/>
        <v>0.06</v>
      </c>
      <c r="J183">
        <f t="shared" si="35"/>
        <v>0.03</v>
      </c>
      <c r="K183">
        <f t="shared" si="36"/>
        <v>0</v>
      </c>
      <c r="L183">
        <f t="shared" si="37"/>
        <v>-0.03</v>
      </c>
      <c r="M183">
        <f t="shared" si="38"/>
        <v>-0.06</v>
      </c>
      <c r="N183">
        <f t="shared" si="39"/>
        <v>-0.09</v>
      </c>
      <c r="O183">
        <f t="shared" si="40"/>
        <v>-0.12</v>
      </c>
      <c r="P183">
        <f t="shared" si="41"/>
        <v>-0.15</v>
      </c>
    </row>
    <row r="184" spans="1:16" x14ac:dyDescent="0.3">
      <c r="A184" s="6">
        <v>46174</v>
      </c>
      <c r="B184" s="8">
        <f t="shared" si="28"/>
        <v>152</v>
      </c>
      <c r="C184" s="8">
        <f t="shared" si="29"/>
        <v>158</v>
      </c>
      <c r="D184" s="7">
        <f t="shared" si="30"/>
        <v>-0.15</v>
      </c>
      <c r="F184">
        <f t="shared" si="31"/>
        <v>0.15</v>
      </c>
      <c r="G184">
        <f t="shared" si="32"/>
        <v>0.12</v>
      </c>
      <c r="H184">
        <f t="shared" si="33"/>
        <v>0.09</v>
      </c>
      <c r="I184">
        <f t="shared" si="34"/>
        <v>0.06</v>
      </c>
      <c r="J184">
        <f t="shared" si="35"/>
        <v>0.03</v>
      </c>
      <c r="K184">
        <f t="shared" si="36"/>
        <v>0</v>
      </c>
      <c r="L184">
        <f t="shared" si="37"/>
        <v>-0.03</v>
      </c>
      <c r="M184">
        <f t="shared" si="38"/>
        <v>-0.06</v>
      </c>
      <c r="N184">
        <f t="shared" si="39"/>
        <v>-0.09</v>
      </c>
      <c r="O184">
        <f t="shared" si="40"/>
        <v>-0.12</v>
      </c>
      <c r="P184">
        <f t="shared" si="41"/>
        <v>-0.15</v>
      </c>
    </row>
    <row r="185" spans="1:16" x14ac:dyDescent="0.3">
      <c r="A185" s="6">
        <v>46175</v>
      </c>
      <c r="B185" s="8">
        <f t="shared" si="28"/>
        <v>153</v>
      </c>
      <c r="C185" s="8">
        <f t="shared" si="29"/>
        <v>159</v>
      </c>
      <c r="D185" s="7">
        <f t="shared" si="30"/>
        <v>-0.15</v>
      </c>
      <c r="F185">
        <f t="shared" si="31"/>
        <v>0.15</v>
      </c>
      <c r="G185">
        <f t="shared" si="32"/>
        <v>0.12</v>
      </c>
      <c r="H185">
        <f t="shared" si="33"/>
        <v>0.09</v>
      </c>
      <c r="I185">
        <f t="shared" si="34"/>
        <v>0.06</v>
      </c>
      <c r="J185">
        <f t="shared" si="35"/>
        <v>0.03</v>
      </c>
      <c r="K185">
        <f t="shared" si="36"/>
        <v>0</v>
      </c>
      <c r="L185">
        <f t="shared" si="37"/>
        <v>-0.03</v>
      </c>
      <c r="M185">
        <f t="shared" si="38"/>
        <v>-0.06</v>
      </c>
      <c r="N185">
        <f t="shared" si="39"/>
        <v>-0.09</v>
      </c>
      <c r="O185">
        <f t="shared" si="40"/>
        <v>-0.12</v>
      </c>
      <c r="P185">
        <f t="shared" si="41"/>
        <v>-0.15</v>
      </c>
    </row>
    <row r="186" spans="1:16" x14ac:dyDescent="0.3">
      <c r="A186" s="6">
        <v>46176</v>
      </c>
      <c r="B186" s="8">
        <f t="shared" si="28"/>
        <v>154</v>
      </c>
      <c r="C186" s="8">
        <f t="shared" si="29"/>
        <v>160</v>
      </c>
      <c r="D186" s="7">
        <f t="shared" si="30"/>
        <v>-0.15</v>
      </c>
      <c r="F186">
        <f t="shared" si="31"/>
        <v>0.15</v>
      </c>
      <c r="G186">
        <f t="shared" si="32"/>
        <v>0.12</v>
      </c>
      <c r="H186">
        <f t="shared" si="33"/>
        <v>0.09</v>
      </c>
      <c r="I186">
        <f t="shared" si="34"/>
        <v>0.06</v>
      </c>
      <c r="J186">
        <f t="shared" si="35"/>
        <v>0.03</v>
      </c>
      <c r="K186">
        <f t="shared" si="36"/>
        <v>0</v>
      </c>
      <c r="L186">
        <f t="shared" si="37"/>
        <v>-0.03</v>
      </c>
      <c r="M186">
        <f t="shared" si="38"/>
        <v>-0.06</v>
      </c>
      <c r="N186">
        <f t="shared" si="39"/>
        <v>-0.09</v>
      </c>
      <c r="O186">
        <f t="shared" si="40"/>
        <v>-0.12</v>
      </c>
      <c r="P186">
        <f t="shared" si="41"/>
        <v>-0.15</v>
      </c>
    </row>
    <row r="187" spans="1:16" x14ac:dyDescent="0.3">
      <c r="A187" s="6">
        <v>46177</v>
      </c>
      <c r="B187" s="8">
        <f t="shared" si="28"/>
        <v>155</v>
      </c>
      <c r="C187" s="8">
        <f t="shared" si="29"/>
        <v>161</v>
      </c>
      <c r="D187" s="7">
        <f t="shared" si="30"/>
        <v>-0.15</v>
      </c>
      <c r="F187">
        <f t="shared" si="31"/>
        <v>0.15</v>
      </c>
      <c r="G187">
        <f t="shared" si="32"/>
        <v>0.12</v>
      </c>
      <c r="H187">
        <f t="shared" si="33"/>
        <v>0.09</v>
      </c>
      <c r="I187">
        <f t="shared" si="34"/>
        <v>0.06</v>
      </c>
      <c r="J187">
        <f t="shared" si="35"/>
        <v>0.03</v>
      </c>
      <c r="K187">
        <f t="shared" si="36"/>
        <v>0</v>
      </c>
      <c r="L187">
        <f t="shared" si="37"/>
        <v>-0.03</v>
      </c>
      <c r="M187">
        <f t="shared" si="38"/>
        <v>-0.06</v>
      </c>
      <c r="N187">
        <f t="shared" si="39"/>
        <v>-0.09</v>
      </c>
      <c r="O187">
        <f t="shared" si="40"/>
        <v>-0.12</v>
      </c>
      <c r="P187">
        <f t="shared" si="41"/>
        <v>-0.15</v>
      </c>
    </row>
    <row r="188" spans="1:16" x14ac:dyDescent="0.3">
      <c r="A188" s="6">
        <v>46178</v>
      </c>
      <c r="B188" s="8">
        <f t="shared" si="28"/>
        <v>156</v>
      </c>
      <c r="C188" s="8">
        <f t="shared" si="29"/>
        <v>162</v>
      </c>
      <c r="D188" s="7">
        <f t="shared" si="30"/>
        <v>-0.15</v>
      </c>
      <c r="F188">
        <f t="shared" si="31"/>
        <v>0.15</v>
      </c>
      <c r="G188">
        <f t="shared" si="32"/>
        <v>0.12</v>
      </c>
      <c r="H188">
        <f t="shared" si="33"/>
        <v>0.09</v>
      </c>
      <c r="I188">
        <f t="shared" si="34"/>
        <v>0.06</v>
      </c>
      <c r="J188">
        <f t="shared" si="35"/>
        <v>0.03</v>
      </c>
      <c r="K188">
        <f t="shared" si="36"/>
        <v>0</v>
      </c>
      <c r="L188">
        <f t="shared" si="37"/>
        <v>-0.03</v>
      </c>
      <c r="M188">
        <f t="shared" si="38"/>
        <v>-0.06</v>
      </c>
      <c r="N188">
        <f t="shared" si="39"/>
        <v>-0.09</v>
      </c>
      <c r="O188">
        <f t="shared" si="40"/>
        <v>-0.12</v>
      </c>
      <c r="P188">
        <f t="shared" si="41"/>
        <v>-0.15</v>
      </c>
    </row>
    <row r="189" spans="1:16" x14ac:dyDescent="0.3">
      <c r="A189" s="6">
        <v>46179</v>
      </c>
      <c r="B189" s="8">
        <f t="shared" si="28"/>
        <v>157</v>
      </c>
      <c r="C189" s="8">
        <f t="shared" si="29"/>
        <v>163</v>
      </c>
      <c r="D189" s="7">
        <f t="shared" si="30"/>
        <v>-0.15</v>
      </c>
      <c r="F189">
        <f t="shared" si="31"/>
        <v>0.15</v>
      </c>
      <c r="G189">
        <f t="shared" si="32"/>
        <v>0.12</v>
      </c>
      <c r="H189">
        <f t="shared" si="33"/>
        <v>0.09</v>
      </c>
      <c r="I189">
        <f t="shared" si="34"/>
        <v>0.06</v>
      </c>
      <c r="J189">
        <f t="shared" si="35"/>
        <v>0.03</v>
      </c>
      <c r="K189">
        <f t="shared" si="36"/>
        <v>0</v>
      </c>
      <c r="L189">
        <f t="shared" si="37"/>
        <v>-0.03</v>
      </c>
      <c r="M189">
        <f t="shared" si="38"/>
        <v>-0.06</v>
      </c>
      <c r="N189">
        <f t="shared" si="39"/>
        <v>-0.09</v>
      </c>
      <c r="O189">
        <f t="shared" si="40"/>
        <v>-0.12</v>
      </c>
      <c r="P189">
        <f t="shared" si="41"/>
        <v>-0.15</v>
      </c>
    </row>
    <row r="190" spans="1:16" x14ac:dyDescent="0.3">
      <c r="A190" s="6">
        <v>46180</v>
      </c>
      <c r="B190" s="8">
        <f t="shared" si="28"/>
        <v>158</v>
      </c>
      <c r="C190" s="8">
        <f t="shared" si="29"/>
        <v>164</v>
      </c>
      <c r="D190" s="7">
        <f t="shared" si="30"/>
        <v>-0.15</v>
      </c>
      <c r="F190">
        <f t="shared" si="31"/>
        <v>0.15</v>
      </c>
      <c r="G190">
        <f t="shared" si="32"/>
        <v>0.12</v>
      </c>
      <c r="H190">
        <f t="shared" si="33"/>
        <v>0.09</v>
      </c>
      <c r="I190">
        <f t="shared" si="34"/>
        <v>0.06</v>
      </c>
      <c r="J190">
        <f t="shared" si="35"/>
        <v>0.03</v>
      </c>
      <c r="K190">
        <f t="shared" si="36"/>
        <v>0</v>
      </c>
      <c r="L190">
        <f t="shared" si="37"/>
        <v>-0.03</v>
      </c>
      <c r="M190">
        <f t="shared" si="38"/>
        <v>-0.06</v>
      </c>
      <c r="N190">
        <f t="shared" si="39"/>
        <v>-0.09</v>
      </c>
      <c r="O190">
        <f t="shared" si="40"/>
        <v>-0.12</v>
      </c>
      <c r="P190">
        <f t="shared" si="41"/>
        <v>-0.15</v>
      </c>
    </row>
    <row r="191" spans="1:16" x14ac:dyDescent="0.3">
      <c r="A191" s="6">
        <v>46181</v>
      </c>
      <c r="B191" s="8">
        <f t="shared" si="28"/>
        <v>159</v>
      </c>
      <c r="C191" s="8">
        <f t="shared" si="29"/>
        <v>165</v>
      </c>
      <c r="D191" s="7">
        <f t="shared" si="30"/>
        <v>-0.15</v>
      </c>
      <c r="F191">
        <f t="shared" si="31"/>
        <v>0.15</v>
      </c>
      <c r="G191">
        <f t="shared" si="32"/>
        <v>0.12</v>
      </c>
      <c r="H191">
        <f t="shared" si="33"/>
        <v>0.09</v>
      </c>
      <c r="I191">
        <f t="shared" si="34"/>
        <v>0.06</v>
      </c>
      <c r="J191">
        <f t="shared" si="35"/>
        <v>0.03</v>
      </c>
      <c r="K191">
        <f t="shared" si="36"/>
        <v>0</v>
      </c>
      <c r="L191">
        <f t="shared" si="37"/>
        <v>-0.03</v>
      </c>
      <c r="M191">
        <f t="shared" si="38"/>
        <v>-0.06</v>
      </c>
      <c r="N191">
        <f t="shared" si="39"/>
        <v>-0.09</v>
      </c>
      <c r="O191">
        <f t="shared" si="40"/>
        <v>-0.12</v>
      </c>
      <c r="P191">
        <f t="shared" si="41"/>
        <v>-0.15</v>
      </c>
    </row>
    <row r="192" spans="1:16" x14ac:dyDescent="0.3">
      <c r="A192" s="6">
        <v>46182</v>
      </c>
      <c r="B192" s="8">
        <f t="shared" si="28"/>
        <v>160</v>
      </c>
      <c r="C192" s="8">
        <f t="shared" si="29"/>
        <v>166</v>
      </c>
      <c r="D192" s="7">
        <f t="shared" si="30"/>
        <v>-0.15</v>
      </c>
      <c r="F192">
        <f t="shared" si="31"/>
        <v>0.15</v>
      </c>
      <c r="G192">
        <f t="shared" si="32"/>
        <v>0.12</v>
      </c>
      <c r="H192">
        <f t="shared" si="33"/>
        <v>0.09</v>
      </c>
      <c r="I192">
        <f t="shared" si="34"/>
        <v>0.06</v>
      </c>
      <c r="J192">
        <f t="shared" si="35"/>
        <v>0.03</v>
      </c>
      <c r="K192">
        <f t="shared" si="36"/>
        <v>0</v>
      </c>
      <c r="L192">
        <f t="shared" si="37"/>
        <v>-0.03</v>
      </c>
      <c r="M192">
        <f t="shared" si="38"/>
        <v>-0.06</v>
      </c>
      <c r="N192">
        <f t="shared" si="39"/>
        <v>-0.09</v>
      </c>
      <c r="O192">
        <f t="shared" si="40"/>
        <v>-0.12</v>
      </c>
      <c r="P192">
        <f t="shared" si="41"/>
        <v>-0.15</v>
      </c>
    </row>
    <row r="193" spans="1:16" x14ac:dyDescent="0.3">
      <c r="A193" s="6">
        <v>46183</v>
      </c>
      <c r="B193" s="8">
        <f t="shared" si="28"/>
        <v>161</v>
      </c>
      <c r="C193" s="8">
        <f t="shared" si="29"/>
        <v>167</v>
      </c>
      <c r="D193" s="7">
        <f t="shared" si="30"/>
        <v>-0.15</v>
      </c>
      <c r="F193">
        <f t="shared" si="31"/>
        <v>0.15</v>
      </c>
      <c r="G193">
        <f t="shared" si="32"/>
        <v>0.12</v>
      </c>
      <c r="H193">
        <f t="shared" si="33"/>
        <v>0.09</v>
      </c>
      <c r="I193">
        <f t="shared" si="34"/>
        <v>0.06</v>
      </c>
      <c r="J193">
        <f t="shared" si="35"/>
        <v>0.03</v>
      </c>
      <c r="K193">
        <f t="shared" si="36"/>
        <v>0</v>
      </c>
      <c r="L193">
        <f t="shared" si="37"/>
        <v>-0.03</v>
      </c>
      <c r="M193">
        <f t="shared" si="38"/>
        <v>-0.06</v>
      </c>
      <c r="N193">
        <f t="shared" si="39"/>
        <v>-0.09</v>
      </c>
      <c r="O193">
        <f t="shared" si="40"/>
        <v>-0.12</v>
      </c>
      <c r="P193">
        <f t="shared" si="41"/>
        <v>-0.15</v>
      </c>
    </row>
    <row r="194" spans="1:16" x14ac:dyDescent="0.3">
      <c r="A194" s="6">
        <v>46184</v>
      </c>
      <c r="B194" s="8">
        <f t="shared" si="28"/>
        <v>162</v>
      </c>
      <c r="C194" s="8">
        <f t="shared" si="29"/>
        <v>168</v>
      </c>
      <c r="D194" s="7">
        <f t="shared" si="30"/>
        <v>-0.15</v>
      </c>
      <c r="F194">
        <f t="shared" si="31"/>
        <v>0.15</v>
      </c>
      <c r="G194">
        <f t="shared" si="32"/>
        <v>0.12</v>
      </c>
      <c r="H194">
        <f t="shared" si="33"/>
        <v>0.09</v>
      </c>
      <c r="I194">
        <f t="shared" si="34"/>
        <v>0.06</v>
      </c>
      <c r="J194">
        <f t="shared" si="35"/>
        <v>0.03</v>
      </c>
      <c r="K194">
        <f t="shared" si="36"/>
        <v>0</v>
      </c>
      <c r="L194">
        <f t="shared" si="37"/>
        <v>-0.03</v>
      </c>
      <c r="M194">
        <f t="shared" si="38"/>
        <v>-0.06</v>
      </c>
      <c r="N194">
        <f t="shared" si="39"/>
        <v>-0.09</v>
      </c>
      <c r="O194">
        <f t="shared" si="40"/>
        <v>-0.12</v>
      </c>
      <c r="P194">
        <f t="shared" si="41"/>
        <v>-0.15</v>
      </c>
    </row>
    <row r="195" spans="1:16" x14ac:dyDescent="0.3">
      <c r="A195" s="6">
        <v>46185</v>
      </c>
      <c r="B195" s="8">
        <f t="shared" ref="B195:B258" si="42" xml:space="preserve"> A195 - DATE(YEAR(A195), 1, 1) + 1</f>
        <v>163</v>
      </c>
      <c r="C195" s="8">
        <f t="shared" ref="C195:C258" si="43">MIN(ABS(359-B195), 365-ABS(359-B195))</f>
        <v>169</v>
      </c>
      <c r="D195" s="7">
        <f t="shared" ref="D195:D258" si="44">MAX(0, $T$4 - (C195/$U$4)) ^ $T$7 - $U$7</f>
        <v>-0.15</v>
      </c>
      <c r="F195">
        <f t="shared" ref="F195:F258" si="45">(-10/10) * D195</f>
        <v>0.15</v>
      </c>
      <c r="G195">
        <f t="shared" ref="G195:G258" si="46">(-8/10) * $D195</f>
        <v>0.12</v>
      </c>
      <c r="H195">
        <f t="shared" ref="H195:H258" si="47">(-6/10) * $D195</f>
        <v>0.09</v>
      </c>
      <c r="I195">
        <f t="shared" ref="I195:I258" si="48">(-4/10) * $D195</f>
        <v>0.06</v>
      </c>
      <c r="J195">
        <f t="shared" ref="J195:J258" si="49">(-2/10) * $D195</f>
        <v>0.03</v>
      </c>
      <c r="K195">
        <f t="shared" ref="K195:K258" si="50">(0/10) * $D195</f>
        <v>0</v>
      </c>
      <c r="L195">
        <f t="shared" ref="L195:L258" si="51">(2/10) * $D195</f>
        <v>-0.03</v>
      </c>
      <c r="M195">
        <f t="shared" ref="M195:M258" si="52">(4/10) * $D195</f>
        <v>-0.06</v>
      </c>
      <c r="N195">
        <f t="shared" ref="N195:N258" si="53">(6/10) * $D195</f>
        <v>-0.09</v>
      </c>
      <c r="O195">
        <f t="shared" ref="O195:O258" si="54">(8/10) * $D195</f>
        <v>-0.12</v>
      </c>
      <c r="P195">
        <f t="shared" ref="P195:P258" si="55">(10/10) * $D195</f>
        <v>-0.15</v>
      </c>
    </row>
    <row r="196" spans="1:16" x14ac:dyDescent="0.3">
      <c r="A196" s="6">
        <v>46186</v>
      </c>
      <c r="B196" s="8">
        <f t="shared" si="42"/>
        <v>164</v>
      </c>
      <c r="C196" s="8">
        <f t="shared" si="43"/>
        <v>170</v>
      </c>
      <c r="D196" s="7">
        <f t="shared" si="44"/>
        <v>-0.15</v>
      </c>
      <c r="F196">
        <f t="shared" si="45"/>
        <v>0.15</v>
      </c>
      <c r="G196">
        <f t="shared" si="46"/>
        <v>0.12</v>
      </c>
      <c r="H196">
        <f t="shared" si="47"/>
        <v>0.09</v>
      </c>
      <c r="I196">
        <f t="shared" si="48"/>
        <v>0.06</v>
      </c>
      <c r="J196">
        <f t="shared" si="49"/>
        <v>0.03</v>
      </c>
      <c r="K196">
        <f t="shared" si="50"/>
        <v>0</v>
      </c>
      <c r="L196">
        <f t="shared" si="51"/>
        <v>-0.03</v>
      </c>
      <c r="M196">
        <f t="shared" si="52"/>
        <v>-0.06</v>
      </c>
      <c r="N196">
        <f t="shared" si="53"/>
        <v>-0.09</v>
      </c>
      <c r="O196">
        <f t="shared" si="54"/>
        <v>-0.12</v>
      </c>
      <c r="P196">
        <f t="shared" si="55"/>
        <v>-0.15</v>
      </c>
    </row>
    <row r="197" spans="1:16" x14ac:dyDescent="0.3">
      <c r="A197" s="6">
        <v>46187</v>
      </c>
      <c r="B197" s="8">
        <f t="shared" si="42"/>
        <v>165</v>
      </c>
      <c r="C197" s="8">
        <f t="shared" si="43"/>
        <v>171</v>
      </c>
      <c r="D197" s="7">
        <f t="shared" si="44"/>
        <v>-0.15</v>
      </c>
      <c r="F197">
        <f t="shared" si="45"/>
        <v>0.15</v>
      </c>
      <c r="G197">
        <f t="shared" si="46"/>
        <v>0.12</v>
      </c>
      <c r="H197">
        <f t="shared" si="47"/>
        <v>0.09</v>
      </c>
      <c r="I197">
        <f t="shared" si="48"/>
        <v>0.06</v>
      </c>
      <c r="J197">
        <f t="shared" si="49"/>
        <v>0.03</v>
      </c>
      <c r="K197">
        <f t="shared" si="50"/>
        <v>0</v>
      </c>
      <c r="L197">
        <f t="shared" si="51"/>
        <v>-0.03</v>
      </c>
      <c r="M197">
        <f t="shared" si="52"/>
        <v>-0.06</v>
      </c>
      <c r="N197">
        <f t="shared" si="53"/>
        <v>-0.09</v>
      </c>
      <c r="O197">
        <f t="shared" si="54"/>
        <v>-0.12</v>
      </c>
      <c r="P197">
        <f t="shared" si="55"/>
        <v>-0.15</v>
      </c>
    </row>
    <row r="198" spans="1:16" x14ac:dyDescent="0.3">
      <c r="A198" s="6">
        <v>46188</v>
      </c>
      <c r="B198" s="8">
        <f t="shared" si="42"/>
        <v>166</v>
      </c>
      <c r="C198" s="8">
        <f t="shared" si="43"/>
        <v>172</v>
      </c>
      <c r="D198" s="7">
        <f t="shared" si="44"/>
        <v>-0.15</v>
      </c>
      <c r="F198">
        <f t="shared" si="45"/>
        <v>0.15</v>
      </c>
      <c r="G198">
        <f t="shared" si="46"/>
        <v>0.12</v>
      </c>
      <c r="H198">
        <f t="shared" si="47"/>
        <v>0.09</v>
      </c>
      <c r="I198">
        <f t="shared" si="48"/>
        <v>0.06</v>
      </c>
      <c r="J198">
        <f t="shared" si="49"/>
        <v>0.03</v>
      </c>
      <c r="K198">
        <f t="shared" si="50"/>
        <v>0</v>
      </c>
      <c r="L198">
        <f t="shared" si="51"/>
        <v>-0.03</v>
      </c>
      <c r="M198">
        <f t="shared" si="52"/>
        <v>-0.06</v>
      </c>
      <c r="N198">
        <f t="shared" si="53"/>
        <v>-0.09</v>
      </c>
      <c r="O198">
        <f t="shared" si="54"/>
        <v>-0.12</v>
      </c>
      <c r="P198">
        <f t="shared" si="55"/>
        <v>-0.15</v>
      </c>
    </row>
    <row r="199" spans="1:16" x14ac:dyDescent="0.3">
      <c r="A199" s="6">
        <v>46189</v>
      </c>
      <c r="B199" s="8">
        <f t="shared" si="42"/>
        <v>167</v>
      </c>
      <c r="C199" s="8">
        <f t="shared" si="43"/>
        <v>173</v>
      </c>
      <c r="D199" s="7">
        <f t="shared" si="44"/>
        <v>-0.15</v>
      </c>
      <c r="F199">
        <f t="shared" si="45"/>
        <v>0.15</v>
      </c>
      <c r="G199">
        <f t="shared" si="46"/>
        <v>0.12</v>
      </c>
      <c r="H199">
        <f t="shared" si="47"/>
        <v>0.09</v>
      </c>
      <c r="I199">
        <f t="shared" si="48"/>
        <v>0.06</v>
      </c>
      <c r="J199">
        <f t="shared" si="49"/>
        <v>0.03</v>
      </c>
      <c r="K199">
        <f t="shared" si="50"/>
        <v>0</v>
      </c>
      <c r="L199">
        <f t="shared" si="51"/>
        <v>-0.03</v>
      </c>
      <c r="M199">
        <f t="shared" si="52"/>
        <v>-0.06</v>
      </c>
      <c r="N199">
        <f t="shared" si="53"/>
        <v>-0.09</v>
      </c>
      <c r="O199">
        <f t="shared" si="54"/>
        <v>-0.12</v>
      </c>
      <c r="P199">
        <f t="shared" si="55"/>
        <v>-0.15</v>
      </c>
    </row>
    <row r="200" spans="1:16" x14ac:dyDescent="0.3">
      <c r="A200" s="6">
        <v>46190</v>
      </c>
      <c r="B200" s="8">
        <f t="shared" si="42"/>
        <v>168</v>
      </c>
      <c r="C200" s="8">
        <f t="shared" si="43"/>
        <v>174</v>
      </c>
      <c r="D200" s="7">
        <f t="shared" si="44"/>
        <v>-0.15</v>
      </c>
      <c r="F200">
        <f t="shared" si="45"/>
        <v>0.15</v>
      </c>
      <c r="G200">
        <f t="shared" si="46"/>
        <v>0.12</v>
      </c>
      <c r="H200">
        <f t="shared" si="47"/>
        <v>0.09</v>
      </c>
      <c r="I200">
        <f t="shared" si="48"/>
        <v>0.06</v>
      </c>
      <c r="J200">
        <f t="shared" si="49"/>
        <v>0.03</v>
      </c>
      <c r="K200">
        <f t="shared" si="50"/>
        <v>0</v>
      </c>
      <c r="L200">
        <f t="shared" si="51"/>
        <v>-0.03</v>
      </c>
      <c r="M200">
        <f t="shared" si="52"/>
        <v>-0.06</v>
      </c>
      <c r="N200">
        <f t="shared" si="53"/>
        <v>-0.09</v>
      </c>
      <c r="O200">
        <f t="shared" si="54"/>
        <v>-0.12</v>
      </c>
      <c r="P200">
        <f t="shared" si="55"/>
        <v>-0.15</v>
      </c>
    </row>
    <row r="201" spans="1:16" x14ac:dyDescent="0.3">
      <c r="A201" s="6">
        <v>46191</v>
      </c>
      <c r="B201" s="8">
        <f t="shared" si="42"/>
        <v>169</v>
      </c>
      <c r="C201" s="8">
        <f t="shared" si="43"/>
        <v>175</v>
      </c>
      <c r="D201" s="7">
        <f t="shared" si="44"/>
        <v>-0.15</v>
      </c>
      <c r="F201">
        <f t="shared" si="45"/>
        <v>0.15</v>
      </c>
      <c r="G201">
        <f t="shared" si="46"/>
        <v>0.12</v>
      </c>
      <c r="H201">
        <f t="shared" si="47"/>
        <v>0.09</v>
      </c>
      <c r="I201">
        <f t="shared" si="48"/>
        <v>0.06</v>
      </c>
      <c r="J201">
        <f t="shared" si="49"/>
        <v>0.03</v>
      </c>
      <c r="K201">
        <f t="shared" si="50"/>
        <v>0</v>
      </c>
      <c r="L201">
        <f t="shared" si="51"/>
        <v>-0.03</v>
      </c>
      <c r="M201">
        <f t="shared" si="52"/>
        <v>-0.06</v>
      </c>
      <c r="N201">
        <f t="shared" si="53"/>
        <v>-0.09</v>
      </c>
      <c r="O201">
        <f t="shared" si="54"/>
        <v>-0.12</v>
      </c>
      <c r="P201">
        <f t="shared" si="55"/>
        <v>-0.15</v>
      </c>
    </row>
    <row r="202" spans="1:16" x14ac:dyDescent="0.3">
      <c r="A202" s="6">
        <v>46192</v>
      </c>
      <c r="B202" s="8">
        <f t="shared" si="42"/>
        <v>170</v>
      </c>
      <c r="C202" s="8">
        <f t="shared" si="43"/>
        <v>176</v>
      </c>
      <c r="D202" s="7">
        <f t="shared" si="44"/>
        <v>-0.15</v>
      </c>
      <c r="F202">
        <f t="shared" si="45"/>
        <v>0.15</v>
      </c>
      <c r="G202">
        <f t="shared" si="46"/>
        <v>0.12</v>
      </c>
      <c r="H202">
        <f t="shared" si="47"/>
        <v>0.09</v>
      </c>
      <c r="I202">
        <f t="shared" si="48"/>
        <v>0.06</v>
      </c>
      <c r="J202">
        <f t="shared" si="49"/>
        <v>0.03</v>
      </c>
      <c r="K202">
        <f t="shared" si="50"/>
        <v>0</v>
      </c>
      <c r="L202">
        <f t="shared" si="51"/>
        <v>-0.03</v>
      </c>
      <c r="M202">
        <f t="shared" si="52"/>
        <v>-0.06</v>
      </c>
      <c r="N202">
        <f t="shared" si="53"/>
        <v>-0.09</v>
      </c>
      <c r="O202">
        <f t="shared" si="54"/>
        <v>-0.12</v>
      </c>
      <c r="P202">
        <f t="shared" si="55"/>
        <v>-0.15</v>
      </c>
    </row>
    <row r="203" spans="1:16" x14ac:dyDescent="0.3">
      <c r="A203" s="6">
        <v>46193</v>
      </c>
      <c r="B203" s="8">
        <f t="shared" si="42"/>
        <v>171</v>
      </c>
      <c r="C203" s="8">
        <f t="shared" si="43"/>
        <v>177</v>
      </c>
      <c r="D203" s="7">
        <f t="shared" si="44"/>
        <v>-0.15</v>
      </c>
      <c r="F203">
        <f t="shared" si="45"/>
        <v>0.15</v>
      </c>
      <c r="G203">
        <f t="shared" si="46"/>
        <v>0.12</v>
      </c>
      <c r="H203">
        <f t="shared" si="47"/>
        <v>0.09</v>
      </c>
      <c r="I203">
        <f t="shared" si="48"/>
        <v>0.06</v>
      </c>
      <c r="J203">
        <f t="shared" si="49"/>
        <v>0.03</v>
      </c>
      <c r="K203">
        <f t="shared" si="50"/>
        <v>0</v>
      </c>
      <c r="L203">
        <f t="shared" si="51"/>
        <v>-0.03</v>
      </c>
      <c r="M203">
        <f t="shared" si="52"/>
        <v>-0.06</v>
      </c>
      <c r="N203">
        <f t="shared" si="53"/>
        <v>-0.09</v>
      </c>
      <c r="O203">
        <f t="shared" si="54"/>
        <v>-0.12</v>
      </c>
      <c r="P203">
        <f t="shared" si="55"/>
        <v>-0.15</v>
      </c>
    </row>
    <row r="204" spans="1:16" x14ac:dyDescent="0.3">
      <c r="A204" s="6">
        <v>46194</v>
      </c>
      <c r="B204" s="8">
        <f t="shared" si="42"/>
        <v>172</v>
      </c>
      <c r="C204" s="8">
        <f t="shared" si="43"/>
        <v>178</v>
      </c>
      <c r="D204" s="7">
        <f t="shared" si="44"/>
        <v>-0.15</v>
      </c>
      <c r="F204">
        <f t="shared" si="45"/>
        <v>0.15</v>
      </c>
      <c r="G204">
        <f t="shared" si="46"/>
        <v>0.12</v>
      </c>
      <c r="H204">
        <f t="shared" si="47"/>
        <v>0.09</v>
      </c>
      <c r="I204">
        <f t="shared" si="48"/>
        <v>0.06</v>
      </c>
      <c r="J204">
        <f t="shared" si="49"/>
        <v>0.03</v>
      </c>
      <c r="K204">
        <f t="shared" si="50"/>
        <v>0</v>
      </c>
      <c r="L204">
        <f t="shared" si="51"/>
        <v>-0.03</v>
      </c>
      <c r="M204">
        <f t="shared" si="52"/>
        <v>-0.06</v>
      </c>
      <c r="N204">
        <f t="shared" si="53"/>
        <v>-0.09</v>
      </c>
      <c r="O204">
        <f t="shared" si="54"/>
        <v>-0.12</v>
      </c>
      <c r="P204">
        <f t="shared" si="55"/>
        <v>-0.15</v>
      </c>
    </row>
    <row r="205" spans="1:16" x14ac:dyDescent="0.3">
      <c r="A205" s="6">
        <v>46195</v>
      </c>
      <c r="B205" s="8">
        <f t="shared" si="42"/>
        <v>173</v>
      </c>
      <c r="C205" s="8">
        <f t="shared" si="43"/>
        <v>179</v>
      </c>
      <c r="D205" s="7">
        <f t="shared" si="44"/>
        <v>-0.15</v>
      </c>
      <c r="F205">
        <f t="shared" si="45"/>
        <v>0.15</v>
      </c>
      <c r="G205">
        <f t="shared" si="46"/>
        <v>0.12</v>
      </c>
      <c r="H205">
        <f t="shared" si="47"/>
        <v>0.09</v>
      </c>
      <c r="I205">
        <f t="shared" si="48"/>
        <v>0.06</v>
      </c>
      <c r="J205">
        <f t="shared" si="49"/>
        <v>0.03</v>
      </c>
      <c r="K205">
        <f t="shared" si="50"/>
        <v>0</v>
      </c>
      <c r="L205">
        <f t="shared" si="51"/>
        <v>-0.03</v>
      </c>
      <c r="M205">
        <f t="shared" si="52"/>
        <v>-0.06</v>
      </c>
      <c r="N205">
        <f t="shared" si="53"/>
        <v>-0.09</v>
      </c>
      <c r="O205">
        <f t="shared" si="54"/>
        <v>-0.12</v>
      </c>
      <c r="P205">
        <f t="shared" si="55"/>
        <v>-0.15</v>
      </c>
    </row>
    <row r="206" spans="1:16" x14ac:dyDescent="0.3">
      <c r="A206" s="6">
        <v>46196</v>
      </c>
      <c r="B206" s="8">
        <f t="shared" si="42"/>
        <v>174</v>
      </c>
      <c r="C206" s="8">
        <f t="shared" si="43"/>
        <v>180</v>
      </c>
      <c r="D206" s="7">
        <f t="shared" si="44"/>
        <v>-0.15</v>
      </c>
      <c r="F206">
        <f t="shared" si="45"/>
        <v>0.15</v>
      </c>
      <c r="G206">
        <f t="shared" si="46"/>
        <v>0.12</v>
      </c>
      <c r="H206">
        <f t="shared" si="47"/>
        <v>0.09</v>
      </c>
      <c r="I206">
        <f t="shared" si="48"/>
        <v>0.06</v>
      </c>
      <c r="J206">
        <f t="shared" si="49"/>
        <v>0.03</v>
      </c>
      <c r="K206">
        <f t="shared" si="50"/>
        <v>0</v>
      </c>
      <c r="L206">
        <f t="shared" si="51"/>
        <v>-0.03</v>
      </c>
      <c r="M206">
        <f t="shared" si="52"/>
        <v>-0.06</v>
      </c>
      <c r="N206">
        <f t="shared" si="53"/>
        <v>-0.09</v>
      </c>
      <c r="O206">
        <f t="shared" si="54"/>
        <v>-0.12</v>
      </c>
      <c r="P206">
        <f t="shared" si="55"/>
        <v>-0.15</v>
      </c>
    </row>
    <row r="207" spans="1:16" x14ac:dyDescent="0.3">
      <c r="A207" s="6">
        <v>46197</v>
      </c>
      <c r="B207" s="8">
        <f t="shared" si="42"/>
        <v>175</v>
      </c>
      <c r="C207" s="8">
        <f t="shared" si="43"/>
        <v>181</v>
      </c>
      <c r="D207" s="7">
        <f t="shared" si="44"/>
        <v>-0.15</v>
      </c>
      <c r="F207">
        <f t="shared" si="45"/>
        <v>0.15</v>
      </c>
      <c r="G207">
        <f t="shared" si="46"/>
        <v>0.12</v>
      </c>
      <c r="H207">
        <f t="shared" si="47"/>
        <v>0.09</v>
      </c>
      <c r="I207">
        <f t="shared" si="48"/>
        <v>0.06</v>
      </c>
      <c r="J207">
        <f t="shared" si="49"/>
        <v>0.03</v>
      </c>
      <c r="K207">
        <f t="shared" si="50"/>
        <v>0</v>
      </c>
      <c r="L207">
        <f t="shared" si="51"/>
        <v>-0.03</v>
      </c>
      <c r="M207">
        <f t="shared" si="52"/>
        <v>-0.06</v>
      </c>
      <c r="N207">
        <f t="shared" si="53"/>
        <v>-0.09</v>
      </c>
      <c r="O207">
        <f t="shared" si="54"/>
        <v>-0.12</v>
      </c>
      <c r="P207">
        <f t="shared" si="55"/>
        <v>-0.15</v>
      </c>
    </row>
    <row r="208" spans="1:16" x14ac:dyDescent="0.3">
      <c r="A208" s="6">
        <v>46198</v>
      </c>
      <c r="B208" s="8">
        <f t="shared" si="42"/>
        <v>176</v>
      </c>
      <c r="C208" s="8">
        <f t="shared" si="43"/>
        <v>182</v>
      </c>
      <c r="D208" s="7">
        <f t="shared" si="44"/>
        <v>-0.15</v>
      </c>
      <c r="F208">
        <f t="shared" si="45"/>
        <v>0.15</v>
      </c>
      <c r="G208">
        <f t="shared" si="46"/>
        <v>0.12</v>
      </c>
      <c r="H208">
        <f t="shared" si="47"/>
        <v>0.09</v>
      </c>
      <c r="I208">
        <f t="shared" si="48"/>
        <v>0.06</v>
      </c>
      <c r="J208">
        <f t="shared" si="49"/>
        <v>0.03</v>
      </c>
      <c r="K208">
        <f t="shared" si="50"/>
        <v>0</v>
      </c>
      <c r="L208">
        <f t="shared" si="51"/>
        <v>-0.03</v>
      </c>
      <c r="M208">
        <f t="shared" si="52"/>
        <v>-0.06</v>
      </c>
      <c r="N208">
        <f t="shared" si="53"/>
        <v>-0.09</v>
      </c>
      <c r="O208">
        <f t="shared" si="54"/>
        <v>-0.12</v>
      </c>
      <c r="P208">
        <f t="shared" si="55"/>
        <v>-0.15</v>
      </c>
    </row>
    <row r="209" spans="1:16" x14ac:dyDescent="0.3">
      <c r="A209" s="6">
        <v>46199</v>
      </c>
      <c r="B209" s="8">
        <f t="shared" si="42"/>
        <v>177</v>
      </c>
      <c r="C209" s="8">
        <f t="shared" si="43"/>
        <v>182</v>
      </c>
      <c r="D209" s="7">
        <f t="shared" si="44"/>
        <v>-0.15</v>
      </c>
      <c r="F209">
        <f t="shared" si="45"/>
        <v>0.15</v>
      </c>
      <c r="G209">
        <f t="shared" si="46"/>
        <v>0.12</v>
      </c>
      <c r="H209">
        <f t="shared" si="47"/>
        <v>0.09</v>
      </c>
      <c r="I209">
        <f t="shared" si="48"/>
        <v>0.06</v>
      </c>
      <c r="J209">
        <f t="shared" si="49"/>
        <v>0.03</v>
      </c>
      <c r="K209">
        <f t="shared" si="50"/>
        <v>0</v>
      </c>
      <c r="L209">
        <f t="shared" si="51"/>
        <v>-0.03</v>
      </c>
      <c r="M209">
        <f t="shared" si="52"/>
        <v>-0.06</v>
      </c>
      <c r="N209">
        <f t="shared" si="53"/>
        <v>-0.09</v>
      </c>
      <c r="O209">
        <f t="shared" si="54"/>
        <v>-0.12</v>
      </c>
      <c r="P209">
        <f t="shared" si="55"/>
        <v>-0.15</v>
      </c>
    </row>
    <row r="210" spans="1:16" x14ac:dyDescent="0.3">
      <c r="A210" s="6">
        <v>46200</v>
      </c>
      <c r="B210" s="8">
        <f t="shared" si="42"/>
        <v>178</v>
      </c>
      <c r="C210" s="8">
        <f t="shared" si="43"/>
        <v>181</v>
      </c>
      <c r="D210" s="7">
        <f t="shared" si="44"/>
        <v>-0.15</v>
      </c>
      <c r="F210">
        <f t="shared" si="45"/>
        <v>0.15</v>
      </c>
      <c r="G210">
        <f t="shared" si="46"/>
        <v>0.12</v>
      </c>
      <c r="H210">
        <f t="shared" si="47"/>
        <v>0.09</v>
      </c>
      <c r="I210">
        <f t="shared" si="48"/>
        <v>0.06</v>
      </c>
      <c r="J210">
        <f t="shared" si="49"/>
        <v>0.03</v>
      </c>
      <c r="K210">
        <f t="shared" si="50"/>
        <v>0</v>
      </c>
      <c r="L210">
        <f t="shared" si="51"/>
        <v>-0.03</v>
      </c>
      <c r="M210">
        <f t="shared" si="52"/>
        <v>-0.06</v>
      </c>
      <c r="N210">
        <f t="shared" si="53"/>
        <v>-0.09</v>
      </c>
      <c r="O210">
        <f t="shared" si="54"/>
        <v>-0.12</v>
      </c>
      <c r="P210">
        <f t="shared" si="55"/>
        <v>-0.15</v>
      </c>
    </row>
    <row r="211" spans="1:16" x14ac:dyDescent="0.3">
      <c r="A211" s="6">
        <v>46201</v>
      </c>
      <c r="B211" s="8">
        <f t="shared" si="42"/>
        <v>179</v>
      </c>
      <c r="C211" s="8">
        <f t="shared" si="43"/>
        <v>180</v>
      </c>
      <c r="D211" s="7">
        <f t="shared" si="44"/>
        <v>-0.15</v>
      </c>
      <c r="F211">
        <f t="shared" si="45"/>
        <v>0.15</v>
      </c>
      <c r="G211">
        <f t="shared" si="46"/>
        <v>0.12</v>
      </c>
      <c r="H211">
        <f t="shared" si="47"/>
        <v>0.09</v>
      </c>
      <c r="I211">
        <f t="shared" si="48"/>
        <v>0.06</v>
      </c>
      <c r="J211">
        <f t="shared" si="49"/>
        <v>0.03</v>
      </c>
      <c r="K211">
        <f t="shared" si="50"/>
        <v>0</v>
      </c>
      <c r="L211">
        <f t="shared" si="51"/>
        <v>-0.03</v>
      </c>
      <c r="M211">
        <f t="shared" si="52"/>
        <v>-0.06</v>
      </c>
      <c r="N211">
        <f t="shared" si="53"/>
        <v>-0.09</v>
      </c>
      <c r="O211">
        <f t="shared" si="54"/>
        <v>-0.12</v>
      </c>
      <c r="P211">
        <f t="shared" si="55"/>
        <v>-0.15</v>
      </c>
    </row>
    <row r="212" spans="1:16" x14ac:dyDescent="0.3">
      <c r="A212" s="6">
        <v>46202</v>
      </c>
      <c r="B212" s="8">
        <f t="shared" si="42"/>
        <v>180</v>
      </c>
      <c r="C212" s="8">
        <f t="shared" si="43"/>
        <v>179</v>
      </c>
      <c r="D212" s="7">
        <f t="shared" si="44"/>
        <v>-0.15</v>
      </c>
      <c r="F212">
        <f t="shared" si="45"/>
        <v>0.15</v>
      </c>
      <c r="G212">
        <f t="shared" si="46"/>
        <v>0.12</v>
      </c>
      <c r="H212">
        <f t="shared" si="47"/>
        <v>0.09</v>
      </c>
      <c r="I212">
        <f t="shared" si="48"/>
        <v>0.06</v>
      </c>
      <c r="J212">
        <f t="shared" si="49"/>
        <v>0.03</v>
      </c>
      <c r="K212">
        <f t="shared" si="50"/>
        <v>0</v>
      </c>
      <c r="L212">
        <f t="shared" si="51"/>
        <v>-0.03</v>
      </c>
      <c r="M212">
        <f t="shared" si="52"/>
        <v>-0.06</v>
      </c>
      <c r="N212">
        <f t="shared" si="53"/>
        <v>-0.09</v>
      </c>
      <c r="O212">
        <f t="shared" si="54"/>
        <v>-0.12</v>
      </c>
      <c r="P212">
        <f t="shared" si="55"/>
        <v>-0.15</v>
      </c>
    </row>
    <row r="213" spans="1:16" x14ac:dyDescent="0.3">
      <c r="A213" s="6">
        <v>46203</v>
      </c>
      <c r="B213" s="8">
        <f t="shared" si="42"/>
        <v>181</v>
      </c>
      <c r="C213" s="8">
        <f t="shared" si="43"/>
        <v>178</v>
      </c>
      <c r="D213" s="7">
        <f t="shared" si="44"/>
        <v>-0.15</v>
      </c>
      <c r="F213">
        <f t="shared" si="45"/>
        <v>0.15</v>
      </c>
      <c r="G213">
        <f t="shared" si="46"/>
        <v>0.12</v>
      </c>
      <c r="H213">
        <f t="shared" si="47"/>
        <v>0.09</v>
      </c>
      <c r="I213">
        <f t="shared" si="48"/>
        <v>0.06</v>
      </c>
      <c r="J213">
        <f t="shared" si="49"/>
        <v>0.03</v>
      </c>
      <c r="K213">
        <f t="shared" si="50"/>
        <v>0</v>
      </c>
      <c r="L213">
        <f t="shared" si="51"/>
        <v>-0.03</v>
      </c>
      <c r="M213">
        <f t="shared" si="52"/>
        <v>-0.06</v>
      </c>
      <c r="N213">
        <f t="shared" si="53"/>
        <v>-0.09</v>
      </c>
      <c r="O213">
        <f t="shared" si="54"/>
        <v>-0.12</v>
      </c>
      <c r="P213">
        <f t="shared" si="55"/>
        <v>-0.15</v>
      </c>
    </row>
    <row r="214" spans="1:16" x14ac:dyDescent="0.3">
      <c r="A214" s="6">
        <v>46204</v>
      </c>
      <c r="B214" s="8">
        <f t="shared" si="42"/>
        <v>182</v>
      </c>
      <c r="C214" s="8">
        <f t="shared" si="43"/>
        <v>177</v>
      </c>
      <c r="D214" s="7">
        <f t="shared" si="44"/>
        <v>-0.15</v>
      </c>
      <c r="F214">
        <f t="shared" si="45"/>
        <v>0.15</v>
      </c>
      <c r="G214">
        <f t="shared" si="46"/>
        <v>0.12</v>
      </c>
      <c r="H214">
        <f t="shared" si="47"/>
        <v>0.09</v>
      </c>
      <c r="I214">
        <f t="shared" si="48"/>
        <v>0.06</v>
      </c>
      <c r="J214">
        <f t="shared" si="49"/>
        <v>0.03</v>
      </c>
      <c r="K214">
        <f t="shared" si="50"/>
        <v>0</v>
      </c>
      <c r="L214">
        <f t="shared" si="51"/>
        <v>-0.03</v>
      </c>
      <c r="M214">
        <f t="shared" si="52"/>
        <v>-0.06</v>
      </c>
      <c r="N214">
        <f t="shared" si="53"/>
        <v>-0.09</v>
      </c>
      <c r="O214">
        <f t="shared" si="54"/>
        <v>-0.12</v>
      </c>
      <c r="P214">
        <f t="shared" si="55"/>
        <v>-0.15</v>
      </c>
    </row>
    <row r="215" spans="1:16" x14ac:dyDescent="0.3">
      <c r="A215" s="6">
        <v>46205</v>
      </c>
      <c r="B215" s="8">
        <f t="shared" si="42"/>
        <v>183</v>
      </c>
      <c r="C215" s="8">
        <f t="shared" si="43"/>
        <v>176</v>
      </c>
      <c r="D215" s="7">
        <f t="shared" si="44"/>
        <v>-0.15</v>
      </c>
      <c r="F215">
        <f t="shared" si="45"/>
        <v>0.15</v>
      </c>
      <c r="G215">
        <f t="shared" si="46"/>
        <v>0.12</v>
      </c>
      <c r="H215">
        <f t="shared" si="47"/>
        <v>0.09</v>
      </c>
      <c r="I215">
        <f t="shared" si="48"/>
        <v>0.06</v>
      </c>
      <c r="J215">
        <f t="shared" si="49"/>
        <v>0.03</v>
      </c>
      <c r="K215">
        <f t="shared" si="50"/>
        <v>0</v>
      </c>
      <c r="L215">
        <f t="shared" si="51"/>
        <v>-0.03</v>
      </c>
      <c r="M215">
        <f t="shared" si="52"/>
        <v>-0.06</v>
      </c>
      <c r="N215">
        <f t="shared" si="53"/>
        <v>-0.09</v>
      </c>
      <c r="O215">
        <f t="shared" si="54"/>
        <v>-0.12</v>
      </c>
      <c r="P215">
        <f t="shared" si="55"/>
        <v>-0.15</v>
      </c>
    </row>
    <row r="216" spans="1:16" x14ac:dyDescent="0.3">
      <c r="A216" s="6">
        <v>46206</v>
      </c>
      <c r="B216" s="8">
        <f t="shared" si="42"/>
        <v>184</v>
      </c>
      <c r="C216" s="8">
        <f t="shared" si="43"/>
        <v>175</v>
      </c>
      <c r="D216" s="7">
        <f t="shared" si="44"/>
        <v>-0.15</v>
      </c>
      <c r="F216">
        <f t="shared" si="45"/>
        <v>0.15</v>
      </c>
      <c r="G216">
        <f t="shared" si="46"/>
        <v>0.12</v>
      </c>
      <c r="H216">
        <f t="shared" si="47"/>
        <v>0.09</v>
      </c>
      <c r="I216">
        <f t="shared" si="48"/>
        <v>0.06</v>
      </c>
      <c r="J216">
        <f t="shared" si="49"/>
        <v>0.03</v>
      </c>
      <c r="K216">
        <f t="shared" si="50"/>
        <v>0</v>
      </c>
      <c r="L216">
        <f t="shared" si="51"/>
        <v>-0.03</v>
      </c>
      <c r="M216">
        <f t="shared" si="52"/>
        <v>-0.06</v>
      </c>
      <c r="N216">
        <f t="shared" si="53"/>
        <v>-0.09</v>
      </c>
      <c r="O216">
        <f t="shared" si="54"/>
        <v>-0.12</v>
      </c>
      <c r="P216">
        <f t="shared" si="55"/>
        <v>-0.15</v>
      </c>
    </row>
    <row r="217" spans="1:16" x14ac:dyDescent="0.3">
      <c r="A217" s="6">
        <v>46207</v>
      </c>
      <c r="B217" s="8">
        <f t="shared" si="42"/>
        <v>185</v>
      </c>
      <c r="C217" s="8">
        <f t="shared" si="43"/>
        <v>174</v>
      </c>
      <c r="D217" s="7">
        <f t="shared" si="44"/>
        <v>-0.15</v>
      </c>
      <c r="F217">
        <f t="shared" si="45"/>
        <v>0.15</v>
      </c>
      <c r="G217">
        <f t="shared" si="46"/>
        <v>0.12</v>
      </c>
      <c r="H217">
        <f t="shared" si="47"/>
        <v>0.09</v>
      </c>
      <c r="I217">
        <f t="shared" si="48"/>
        <v>0.06</v>
      </c>
      <c r="J217">
        <f t="shared" si="49"/>
        <v>0.03</v>
      </c>
      <c r="K217">
        <f t="shared" si="50"/>
        <v>0</v>
      </c>
      <c r="L217">
        <f t="shared" si="51"/>
        <v>-0.03</v>
      </c>
      <c r="M217">
        <f t="shared" si="52"/>
        <v>-0.06</v>
      </c>
      <c r="N217">
        <f t="shared" si="53"/>
        <v>-0.09</v>
      </c>
      <c r="O217">
        <f t="shared" si="54"/>
        <v>-0.12</v>
      </c>
      <c r="P217">
        <f t="shared" si="55"/>
        <v>-0.15</v>
      </c>
    </row>
    <row r="218" spans="1:16" x14ac:dyDescent="0.3">
      <c r="A218" s="6">
        <v>46208</v>
      </c>
      <c r="B218" s="8">
        <f t="shared" si="42"/>
        <v>186</v>
      </c>
      <c r="C218" s="8">
        <f t="shared" si="43"/>
        <v>173</v>
      </c>
      <c r="D218" s="7">
        <f t="shared" si="44"/>
        <v>-0.15</v>
      </c>
      <c r="F218">
        <f t="shared" si="45"/>
        <v>0.15</v>
      </c>
      <c r="G218">
        <f t="shared" si="46"/>
        <v>0.12</v>
      </c>
      <c r="H218">
        <f t="shared" si="47"/>
        <v>0.09</v>
      </c>
      <c r="I218">
        <f t="shared" si="48"/>
        <v>0.06</v>
      </c>
      <c r="J218">
        <f t="shared" si="49"/>
        <v>0.03</v>
      </c>
      <c r="K218">
        <f t="shared" si="50"/>
        <v>0</v>
      </c>
      <c r="L218">
        <f t="shared" si="51"/>
        <v>-0.03</v>
      </c>
      <c r="M218">
        <f t="shared" si="52"/>
        <v>-0.06</v>
      </c>
      <c r="N218">
        <f t="shared" si="53"/>
        <v>-0.09</v>
      </c>
      <c r="O218">
        <f t="shared" si="54"/>
        <v>-0.12</v>
      </c>
      <c r="P218">
        <f t="shared" si="55"/>
        <v>-0.15</v>
      </c>
    </row>
    <row r="219" spans="1:16" x14ac:dyDescent="0.3">
      <c r="A219" s="6">
        <v>46209</v>
      </c>
      <c r="B219" s="8">
        <f t="shared" si="42"/>
        <v>187</v>
      </c>
      <c r="C219" s="8">
        <f t="shared" si="43"/>
        <v>172</v>
      </c>
      <c r="D219" s="7">
        <f t="shared" si="44"/>
        <v>-0.15</v>
      </c>
      <c r="F219">
        <f t="shared" si="45"/>
        <v>0.15</v>
      </c>
      <c r="G219">
        <f t="shared" si="46"/>
        <v>0.12</v>
      </c>
      <c r="H219">
        <f t="shared" si="47"/>
        <v>0.09</v>
      </c>
      <c r="I219">
        <f t="shared" si="48"/>
        <v>0.06</v>
      </c>
      <c r="J219">
        <f t="shared" si="49"/>
        <v>0.03</v>
      </c>
      <c r="K219">
        <f t="shared" si="50"/>
        <v>0</v>
      </c>
      <c r="L219">
        <f t="shared" si="51"/>
        <v>-0.03</v>
      </c>
      <c r="M219">
        <f t="shared" si="52"/>
        <v>-0.06</v>
      </c>
      <c r="N219">
        <f t="shared" si="53"/>
        <v>-0.09</v>
      </c>
      <c r="O219">
        <f t="shared" si="54"/>
        <v>-0.12</v>
      </c>
      <c r="P219">
        <f t="shared" si="55"/>
        <v>-0.15</v>
      </c>
    </row>
    <row r="220" spans="1:16" x14ac:dyDescent="0.3">
      <c r="A220" s="6">
        <v>46210</v>
      </c>
      <c r="B220" s="8">
        <f t="shared" si="42"/>
        <v>188</v>
      </c>
      <c r="C220" s="8">
        <f t="shared" si="43"/>
        <v>171</v>
      </c>
      <c r="D220" s="7">
        <f t="shared" si="44"/>
        <v>-0.15</v>
      </c>
      <c r="F220">
        <f t="shared" si="45"/>
        <v>0.15</v>
      </c>
      <c r="G220">
        <f t="shared" si="46"/>
        <v>0.12</v>
      </c>
      <c r="H220">
        <f t="shared" si="47"/>
        <v>0.09</v>
      </c>
      <c r="I220">
        <f t="shared" si="48"/>
        <v>0.06</v>
      </c>
      <c r="J220">
        <f t="shared" si="49"/>
        <v>0.03</v>
      </c>
      <c r="K220">
        <f t="shared" si="50"/>
        <v>0</v>
      </c>
      <c r="L220">
        <f t="shared" si="51"/>
        <v>-0.03</v>
      </c>
      <c r="M220">
        <f t="shared" si="52"/>
        <v>-0.06</v>
      </c>
      <c r="N220">
        <f t="shared" si="53"/>
        <v>-0.09</v>
      </c>
      <c r="O220">
        <f t="shared" si="54"/>
        <v>-0.12</v>
      </c>
      <c r="P220">
        <f t="shared" si="55"/>
        <v>-0.15</v>
      </c>
    </row>
    <row r="221" spans="1:16" x14ac:dyDescent="0.3">
      <c r="A221" s="6">
        <v>46211</v>
      </c>
      <c r="B221" s="8">
        <f t="shared" si="42"/>
        <v>189</v>
      </c>
      <c r="C221" s="8">
        <f t="shared" si="43"/>
        <v>170</v>
      </c>
      <c r="D221" s="7">
        <f t="shared" si="44"/>
        <v>-0.15</v>
      </c>
      <c r="F221">
        <f t="shared" si="45"/>
        <v>0.15</v>
      </c>
      <c r="G221">
        <f t="shared" si="46"/>
        <v>0.12</v>
      </c>
      <c r="H221">
        <f t="shared" si="47"/>
        <v>0.09</v>
      </c>
      <c r="I221">
        <f t="shared" si="48"/>
        <v>0.06</v>
      </c>
      <c r="J221">
        <f t="shared" si="49"/>
        <v>0.03</v>
      </c>
      <c r="K221">
        <f t="shared" si="50"/>
        <v>0</v>
      </c>
      <c r="L221">
        <f t="shared" si="51"/>
        <v>-0.03</v>
      </c>
      <c r="M221">
        <f t="shared" si="52"/>
        <v>-0.06</v>
      </c>
      <c r="N221">
        <f t="shared" si="53"/>
        <v>-0.09</v>
      </c>
      <c r="O221">
        <f t="shared" si="54"/>
        <v>-0.12</v>
      </c>
      <c r="P221">
        <f t="shared" si="55"/>
        <v>-0.15</v>
      </c>
    </row>
    <row r="222" spans="1:16" x14ac:dyDescent="0.3">
      <c r="A222" s="6">
        <v>46212</v>
      </c>
      <c r="B222" s="8">
        <f t="shared" si="42"/>
        <v>190</v>
      </c>
      <c r="C222" s="8">
        <f t="shared" si="43"/>
        <v>169</v>
      </c>
      <c r="D222" s="7">
        <f t="shared" si="44"/>
        <v>-0.15</v>
      </c>
      <c r="F222">
        <f t="shared" si="45"/>
        <v>0.15</v>
      </c>
      <c r="G222">
        <f t="shared" si="46"/>
        <v>0.12</v>
      </c>
      <c r="H222">
        <f t="shared" si="47"/>
        <v>0.09</v>
      </c>
      <c r="I222">
        <f t="shared" si="48"/>
        <v>0.06</v>
      </c>
      <c r="J222">
        <f t="shared" si="49"/>
        <v>0.03</v>
      </c>
      <c r="K222">
        <f t="shared" si="50"/>
        <v>0</v>
      </c>
      <c r="L222">
        <f t="shared" si="51"/>
        <v>-0.03</v>
      </c>
      <c r="M222">
        <f t="shared" si="52"/>
        <v>-0.06</v>
      </c>
      <c r="N222">
        <f t="shared" si="53"/>
        <v>-0.09</v>
      </c>
      <c r="O222">
        <f t="shared" si="54"/>
        <v>-0.12</v>
      </c>
      <c r="P222">
        <f t="shared" si="55"/>
        <v>-0.15</v>
      </c>
    </row>
    <row r="223" spans="1:16" x14ac:dyDescent="0.3">
      <c r="A223" s="6">
        <v>46213</v>
      </c>
      <c r="B223" s="8">
        <f t="shared" si="42"/>
        <v>191</v>
      </c>
      <c r="C223" s="8">
        <f t="shared" si="43"/>
        <v>168</v>
      </c>
      <c r="D223" s="7">
        <f t="shared" si="44"/>
        <v>-0.15</v>
      </c>
      <c r="F223">
        <f t="shared" si="45"/>
        <v>0.15</v>
      </c>
      <c r="G223">
        <f t="shared" si="46"/>
        <v>0.12</v>
      </c>
      <c r="H223">
        <f t="shared" si="47"/>
        <v>0.09</v>
      </c>
      <c r="I223">
        <f t="shared" si="48"/>
        <v>0.06</v>
      </c>
      <c r="J223">
        <f t="shared" si="49"/>
        <v>0.03</v>
      </c>
      <c r="K223">
        <f t="shared" si="50"/>
        <v>0</v>
      </c>
      <c r="L223">
        <f t="shared" si="51"/>
        <v>-0.03</v>
      </c>
      <c r="M223">
        <f t="shared" si="52"/>
        <v>-0.06</v>
      </c>
      <c r="N223">
        <f t="shared" si="53"/>
        <v>-0.09</v>
      </c>
      <c r="O223">
        <f t="shared" si="54"/>
        <v>-0.12</v>
      </c>
      <c r="P223">
        <f t="shared" si="55"/>
        <v>-0.15</v>
      </c>
    </row>
    <row r="224" spans="1:16" x14ac:dyDescent="0.3">
      <c r="A224" s="6">
        <v>46214</v>
      </c>
      <c r="B224" s="8">
        <f t="shared" si="42"/>
        <v>192</v>
      </c>
      <c r="C224" s="8">
        <f t="shared" si="43"/>
        <v>167</v>
      </c>
      <c r="D224" s="7">
        <f t="shared" si="44"/>
        <v>-0.15</v>
      </c>
      <c r="F224">
        <f t="shared" si="45"/>
        <v>0.15</v>
      </c>
      <c r="G224">
        <f t="shared" si="46"/>
        <v>0.12</v>
      </c>
      <c r="H224">
        <f t="shared" si="47"/>
        <v>0.09</v>
      </c>
      <c r="I224">
        <f t="shared" si="48"/>
        <v>0.06</v>
      </c>
      <c r="J224">
        <f t="shared" si="49"/>
        <v>0.03</v>
      </c>
      <c r="K224">
        <f t="shared" si="50"/>
        <v>0</v>
      </c>
      <c r="L224">
        <f t="shared" si="51"/>
        <v>-0.03</v>
      </c>
      <c r="M224">
        <f t="shared" si="52"/>
        <v>-0.06</v>
      </c>
      <c r="N224">
        <f t="shared" si="53"/>
        <v>-0.09</v>
      </c>
      <c r="O224">
        <f t="shared" si="54"/>
        <v>-0.12</v>
      </c>
      <c r="P224">
        <f t="shared" si="55"/>
        <v>-0.15</v>
      </c>
    </row>
    <row r="225" spans="1:16" x14ac:dyDescent="0.3">
      <c r="A225" s="6">
        <v>46215</v>
      </c>
      <c r="B225" s="8">
        <f t="shared" si="42"/>
        <v>193</v>
      </c>
      <c r="C225" s="8">
        <f t="shared" si="43"/>
        <v>166</v>
      </c>
      <c r="D225" s="7">
        <f t="shared" si="44"/>
        <v>-0.15</v>
      </c>
      <c r="F225">
        <f t="shared" si="45"/>
        <v>0.15</v>
      </c>
      <c r="G225">
        <f t="shared" si="46"/>
        <v>0.12</v>
      </c>
      <c r="H225">
        <f t="shared" si="47"/>
        <v>0.09</v>
      </c>
      <c r="I225">
        <f t="shared" si="48"/>
        <v>0.06</v>
      </c>
      <c r="J225">
        <f t="shared" si="49"/>
        <v>0.03</v>
      </c>
      <c r="K225">
        <f t="shared" si="50"/>
        <v>0</v>
      </c>
      <c r="L225">
        <f t="shared" si="51"/>
        <v>-0.03</v>
      </c>
      <c r="M225">
        <f t="shared" si="52"/>
        <v>-0.06</v>
      </c>
      <c r="N225">
        <f t="shared" si="53"/>
        <v>-0.09</v>
      </c>
      <c r="O225">
        <f t="shared" si="54"/>
        <v>-0.12</v>
      </c>
      <c r="P225">
        <f t="shared" si="55"/>
        <v>-0.15</v>
      </c>
    </row>
    <row r="226" spans="1:16" x14ac:dyDescent="0.3">
      <c r="A226" s="6">
        <v>46216</v>
      </c>
      <c r="B226" s="8">
        <f t="shared" si="42"/>
        <v>194</v>
      </c>
      <c r="C226" s="8">
        <f t="shared" si="43"/>
        <v>165</v>
      </c>
      <c r="D226" s="7">
        <f t="shared" si="44"/>
        <v>-0.15</v>
      </c>
      <c r="F226">
        <f t="shared" si="45"/>
        <v>0.15</v>
      </c>
      <c r="G226">
        <f t="shared" si="46"/>
        <v>0.12</v>
      </c>
      <c r="H226">
        <f t="shared" si="47"/>
        <v>0.09</v>
      </c>
      <c r="I226">
        <f t="shared" si="48"/>
        <v>0.06</v>
      </c>
      <c r="J226">
        <f t="shared" si="49"/>
        <v>0.03</v>
      </c>
      <c r="K226">
        <f t="shared" si="50"/>
        <v>0</v>
      </c>
      <c r="L226">
        <f t="shared" si="51"/>
        <v>-0.03</v>
      </c>
      <c r="M226">
        <f t="shared" si="52"/>
        <v>-0.06</v>
      </c>
      <c r="N226">
        <f t="shared" si="53"/>
        <v>-0.09</v>
      </c>
      <c r="O226">
        <f t="shared" si="54"/>
        <v>-0.12</v>
      </c>
      <c r="P226">
        <f t="shared" si="55"/>
        <v>-0.15</v>
      </c>
    </row>
    <row r="227" spans="1:16" x14ac:dyDescent="0.3">
      <c r="A227" s="6">
        <v>46217</v>
      </c>
      <c r="B227" s="8">
        <f t="shared" si="42"/>
        <v>195</v>
      </c>
      <c r="C227" s="8">
        <f t="shared" si="43"/>
        <v>164</v>
      </c>
      <c r="D227" s="7">
        <f t="shared" si="44"/>
        <v>-0.15</v>
      </c>
      <c r="F227">
        <f t="shared" si="45"/>
        <v>0.15</v>
      </c>
      <c r="G227">
        <f t="shared" si="46"/>
        <v>0.12</v>
      </c>
      <c r="H227">
        <f t="shared" si="47"/>
        <v>0.09</v>
      </c>
      <c r="I227">
        <f t="shared" si="48"/>
        <v>0.06</v>
      </c>
      <c r="J227">
        <f t="shared" si="49"/>
        <v>0.03</v>
      </c>
      <c r="K227">
        <f t="shared" si="50"/>
        <v>0</v>
      </c>
      <c r="L227">
        <f t="shared" si="51"/>
        <v>-0.03</v>
      </c>
      <c r="M227">
        <f t="shared" si="52"/>
        <v>-0.06</v>
      </c>
      <c r="N227">
        <f t="shared" si="53"/>
        <v>-0.09</v>
      </c>
      <c r="O227">
        <f t="shared" si="54"/>
        <v>-0.12</v>
      </c>
      <c r="P227">
        <f t="shared" si="55"/>
        <v>-0.15</v>
      </c>
    </row>
    <row r="228" spans="1:16" x14ac:dyDescent="0.3">
      <c r="A228" s="6">
        <v>46218</v>
      </c>
      <c r="B228" s="8">
        <f t="shared" si="42"/>
        <v>196</v>
      </c>
      <c r="C228" s="8">
        <f t="shared" si="43"/>
        <v>163</v>
      </c>
      <c r="D228" s="7">
        <f t="shared" si="44"/>
        <v>-0.15</v>
      </c>
      <c r="F228">
        <f t="shared" si="45"/>
        <v>0.15</v>
      </c>
      <c r="G228">
        <f t="shared" si="46"/>
        <v>0.12</v>
      </c>
      <c r="H228">
        <f t="shared" si="47"/>
        <v>0.09</v>
      </c>
      <c r="I228">
        <f t="shared" si="48"/>
        <v>0.06</v>
      </c>
      <c r="J228">
        <f t="shared" si="49"/>
        <v>0.03</v>
      </c>
      <c r="K228">
        <f t="shared" si="50"/>
        <v>0</v>
      </c>
      <c r="L228">
        <f t="shared" si="51"/>
        <v>-0.03</v>
      </c>
      <c r="M228">
        <f t="shared" si="52"/>
        <v>-0.06</v>
      </c>
      <c r="N228">
        <f t="shared" si="53"/>
        <v>-0.09</v>
      </c>
      <c r="O228">
        <f t="shared" si="54"/>
        <v>-0.12</v>
      </c>
      <c r="P228">
        <f t="shared" si="55"/>
        <v>-0.15</v>
      </c>
    </row>
    <row r="229" spans="1:16" x14ac:dyDescent="0.3">
      <c r="A229" s="6">
        <v>46219</v>
      </c>
      <c r="B229" s="8">
        <f t="shared" si="42"/>
        <v>197</v>
      </c>
      <c r="C229" s="8">
        <f t="shared" si="43"/>
        <v>162</v>
      </c>
      <c r="D229" s="7">
        <f t="shared" si="44"/>
        <v>-0.15</v>
      </c>
      <c r="F229">
        <f t="shared" si="45"/>
        <v>0.15</v>
      </c>
      <c r="G229">
        <f t="shared" si="46"/>
        <v>0.12</v>
      </c>
      <c r="H229">
        <f t="shared" si="47"/>
        <v>0.09</v>
      </c>
      <c r="I229">
        <f t="shared" si="48"/>
        <v>0.06</v>
      </c>
      <c r="J229">
        <f t="shared" si="49"/>
        <v>0.03</v>
      </c>
      <c r="K229">
        <f t="shared" si="50"/>
        <v>0</v>
      </c>
      <c r="L229">
        <f t="shared" si="51"/>
        <v>-0.03</v>
      </c>
      <c r="M229">
        <f t="shared" si="52"/>
        <v>-0.06</v>
      </c>
      <c r="N229">
        <f t="shared" si="53"/>
        <v>-0.09</v>
      </c>
      <c r="O229">
        <f t="shared" si="54"/>
        <v>-0.12</v>
      </c>
      <c r="P229">
        <f t="shared" si="55"/>
        <v>-0.15</v>
      </c>
    </row>
    <row r="230" spans="1:16" x14ac:dyDescent="0.3">
      <c r="A230" s="6">
        <v>46220</v>
      </c>
      <c r="B230" s="8">
        <f t="shared" si="42"/>
        <v>198</v>
      </c>
      <c r="C230" s="8">
        <f t="shared" si="43"/>
        <v>161</v>
      </c>
      <c r="D230" s="7">
        <f t="shared" si="44"/>
        <v>-0.15</v>
      </c>
      <c r="F230">
        <f t="shared" si="45"/>
        <v>0.15</v>
      </c>
      <c r="G230">
        <f t="shared" si="46"/>
        <v>0.12</v>
      </c>
      <c r="H230">
        <f t="shared" si="47"/>
        <v>0.09</v>
      </c>
      <c r="I230">
        <f t="shared" si="48"/>
        <v>0.06</v>
      </c>
      <c r="J230">
        <f t="shared" si="49"/>
        <v>0.03</v>
      </c>
      <c r="K230">
        <f t="shared" si="50"/>
        <v>0</v>
      </c>
      <c r="L230">
        <f t="shared" si="51"/>
        <v>-0.03</v>
      </c>
      <c r="M230">
        <f t="shared" si="52"/>
        <v>-0.06</v>
      </c>
      <c r="N230">
        <f t="shared" si="53"/>
        <v>-0.09</v>
      </c>
      <c r="O230">
        <f t="shared" si="54"/>
        <v>-0.12</v>
      </c>
      <c r="P230">
        <f t="shared" si="55"/>
        <v>-0.15</v>
      </c>
    </row>
    <row r="231" spans="1:16" x14ac:dyDescent="0.3">
      <c r="A231" s="6">
        <v>46221</v>
      </c>
      <c r="B231" s="8">
        <f t="shared" si="42"/>
        <v>199</v>
      </c>
      <c r="C231" s="8">
        <f t="shared" si="43"/>
        <v>160</v>
      </c>
      <c r="D231" s="7">
        <f t="shared" si="44"/>
        <v>-0.15</v>
      </c>
      <c r="F231">
        <f t="shared" si="45"/>
        <v>0.15</v>
      </c>
      <c r="G231">
        <f t="shared" si="46"/>
        <v>0.12</v>
      </c>
      <c r="H231">
        <f t="shared" si="47"/>
        <v>0.09</v>
      </c>
      <c r="I231">
        <f t="shared" si="48"/>
        <v>0.06</v>
      </c>
      <c r="J231">
        <f t="shared" si="49"/>
        <v>0.03</v>
      </c>
      <c r="K231">
        <f t="shared" si="50"/>
        <v>0</v>
      </c>
      <c r="L231">
        <f t="shared" si="51"/>
        <v>-0.03</v>
      </c>
      <c r="M231">
        <f t="shared" si="52"/>
        <v>-0.06</v>
      </c>
      <c r="N231">
        <f t="shared" si="53"/>
        <v>-0.09</v>
      </c>
      <c r="O231">
        <f t="shared" si="54"/>
        <v>-0.12</v>
      </c>
      <c r="P231">
        <f t="shared" si="55"/>
        <v>-0.15</v>
      </c>
    </row>
    <row r="232" spans="1:16" x14ac:dyDescent="0.3">
      <c r="A232" s="6">
        <v>46222</v>
      </c>
      <c r="B232" s="8">
        <f t="shared" si="42"/>
        <v>200</v>
      </c>
      <c r="C232" s="8">
        <f t="shared" si="43"/>
        <v>159</v>
      </c>
      <c r="D232" s="7">
        <f t="shared" si="44"/>
        <v>-0.15</v>
      </c>
      <c r="F232">
        <f t="shared" si="45"/>
        <v>0.15</v>
      </c>
      <c r="G232">
        <f t="shared" si="46"/>
        <v>0.12</v>
      </c>
      <c r="H232">
        <f t="shared" si="47"/>
        <v>0.09</v>
      </c>
      <c r="I232">
        <f t="shared" si="48"/>
        <v>0.06</v>
      </c>
      <c r="J232">
        <f t="shared" si="49"/>
        <v>0.03</v>
      </c>
      <c r="K232">
        <f t="shared" si="50"/>
        <v>0</v>
      </c>
      <c r="L232">
        <f t="shared" si="51"/>
        <v>-0.03</v>
      </c>
      <c r="M232">
        <f t="shared" si="52"/>
        <v>-0.06</v>
      </c>
      <c r="N232">
        <f t="shared" si="53"/>
        <v>-0.09</v>
      </c>
      <c r="O232">
        <f t="shared" si="54"/>
        <v>-0.12</v>
      </c>
      <c r="P232">
        <f t="shared" si="55"/>
        <v>-0.15</v>
      </c>
    </row>
    <row r="233" spans="1:16" x14ac:dyDescent="0.3">
      <c r="A233" s="6">
        <v>46223</v>
      </c>
      <c r="B233" s="8">
        <f t="shared" si="42"/>
        <v>201</v>
      </c>
      <c r="C233" s="8">
        <f t="shared" si="43"/>
        <v>158</v>
      </c>
      <c r="D233" s="7">
        <f t="shared" si="44"/>
        <v>-0.15</v>
      </c>
      <c r="F233">
        <f t="shared" si="45"/>
        <v>0.15</v>
      </c>
      <c r="G233">
        <f t="shared" si="46"/>
        <v>0.12</v>
      </c>
      <c r="H233">
        <f t="shared" si="47"/>
        <v>0.09</v>
      </c>
      <c r="I233">
        <f t="shared" si="48"/>
        <v>0.06</v>
      </c>
      <c r="J233">
        <f t="shared" si="49"/>
        <v>0.03</v>
      </c>
      <c r="K233">
        <f t="shared" si="50"/>
        <v>0</v>
      </c>
      <c r="L233">
        <f t="shared" si="51"/>
        <v>-0.03</v>
      </c>
      <c r="M233">
        <f t="shared" si="52"/>
        <v>-0.06</v>
      </c>
      <c r="N233">
        <f t="shared" si="53"/>
        <v>-0.09</v>
      </c>
      <c r="O233">
        <f t="shared" si="54"/>
        <v>-0.12</v>
      </c>
      <c r="P233">
        <f t="shared" si="55"/>
        <v>-0.15</v>
      </c>
    </row>
    <row r="234" spans="1:16" x14ac:dyDescent="0.3">
      <c r="A234" s="6">
        <v>46224</v>
      </c>
      <c r="B234" s="8">
        <f t="shared" si="42"/>
        <v>202</v>
      </c>
      <c r="C234" s="8">
        <f t="shared" si="43"/>
        <v>157</v>
      </c>
      <c r="D234" s="7">
        <f t="shared" si="44"/>
        <v>-0.15</v>
      </c>
      <c r="F234">
        <f t="shared" si="45"/>
        <v>0.15</v>
      </c>
      <c r="G234">
        <f t="shared" si="46"/>
        <v>0.12</v>
      </c>
      <c r="H234">
        <f t="shared" si="47"/>
        <v>0.09</v>
      </c>
      <c r="I234">
        <f t="shared" si="48"/>
        <v>0.06</v>
      </c>
      <c r="J234">
        <f t="shared" si="49"/>
        <v>0.03</v>
      </c>
      <c r="K234">
        <f t="shared" si="50"/>
        <v>0</v>
      </c>
      <c r="L234">
        <f t="shared" si="51"/>
        <v>-0.03</v>
      </c>
      <c r="M234">
        <f t="shared" si="52"/>
        <v>-0.06</v>
      </c>
      <c r="N234">
        <f t="shared" si="53"/>
        <v>-0.09</v>
      </c>
      <c r="O234">
        <f t="shared" si="54"/>
        <v>-0.12</v>
      </c>
      <c r="P234">
        <f t="shared" si="55"/>
        <v>-0.15</v>
      </c>
    </row>
    <row r="235" spans="1:16" x14ac:dyDescent="0.3">
      <c r="A235" s="6">
        <v>46225</v>
      </c>
      <c r="B235" s="8">
        <f t="shared" si="42"/>
        <v>203</v>
      </c>
      <c r="C235" s="8">
        <f t="shared" si="43"/>
        <v>156</v>
      </c>
      <c r="D235" s="7">
        <f t="shared" si="44"/>
        <v>-0.15</v>
      </c>
      <c r="F235">
        <f t="shared" si="45"/>
        <v>0.15</v>
      </c>
      <c r="G235">
        <f t="shared" si="46"/>
        <v>0.12</v>
      </c>
      <c r="H235">
        <f t="shared" si="47"/>
        <v>0.09</v>
      </c>
      <c r="I235">
        <f t="shared" si="48"/>
        <v>0.06</v>
      </c>
      <c r="J235">
        <f t="shared" si="49"/>
        <v>0.03</v>
      </c>
      <c r="K235">
        <f t="shared" si="50"/>
        <v>0</v>
      </c>
      <c r="L235">
        <f t="shared" si="51"/>
        <v>-0.03</v>
      </c>
      <c r="M235">
        <f t="shared" si="52"/>
        <v>-0.06</v>
      </c>
      <c r="N235">
        <f t="shared" si="53"/>
        <v>-0.09</v>
      </c>
      <c r="O235">
        <f t="shared" si="54"/>
        <v>-0.12</v>
      </c>
      <c r="P235">
        <f t="shared" si="55"/>
        <v>-0.15</v>
      </c>
    </row>
    <row r="236" spans="1:16" x14ac:dyDescent="0.3">
      <c r="A236" s="6">
        <v>46226</v>
      </c>
      <c r="B236" s="8">
        <f t="shared" si="42"/>
        <v>204</v>
      </c>
      <c r="C236" s="8">
        <f t="shared" si="43"/>
        <v>155</v>
      </c>
      <c r="D236" s="7">
        <f t="shared" si="44"/>
        <v>-0.15</v>
      </c>
      <c r="F236">
        <f t="shared" si="45"/>
        <v>0.15</v>
      </c>
      <c r="G236">
        <f t="shared" si="46"/>
        <v>0.12</v>
      </c>
      <c r="H236">
        <f t="shared" si="47"/>
        <v>0.09</v>
      </c>
      <c r="I236">
        <f t="shared" si="48"/>
        <v>0.06</v>
      </c>
      <c r="J236">
        <f t="shared" si="49"/>
        <v>0.03</v>
      </c>
      <c r="K236">
        <f t="shared" si="50"/>
        <v>0</v>
      </c>
      <c r="L236">
        <f t="shared" si="51"/>
        <v>-0.03</v>
      </c>
      <c r="M236">
        <f t="shared" si="52"/>
        <v>-0.06</v>
      </c>
      <c r="N236">
        <f t="shared" si="53"/>
        <v>-0.09</v>
      </c>
      <c r="O236">
        <f t="shared" si="54"/>
        <v>-0.12</v>
      </c>
      <c r="P236">
        <f t="shared" si="55"/>
        <v>-0.15</v>
      </c>
    </row>
    <row r="237" spans="1:16" x14ac:dyDescent="0.3">
      <c r="A237" s="6">
        <v>46227</v>
      </c>
      <c r="B237" s="8">
        <f t="shared" si="42"/>
        <v>205</v>
      </c>
      <c r="C237" s="8">
        <f t="shared" si="43"/>
        <v>154</v>
      </c>
      <c r="D237" s="7">
        <f t="shared" si="44"/>
        <v>-0.15</v>
      </c>
      <c r="F237">
        <f t="shared" si="45"/>
        <v>0.15</v>
      </c>
      <c r="G237">
        <f t="shared" si="46"/>
        <v>0.12</v>
      </c>
      <c r="H237">
        <f t="shared" si="47"/>
        <v>0.09</v>
      </c>
      <c r="I237">
        <f t="shared" si="48"/>
        <v>0.06</v>
      </c>
      <c r="J237">
        <f t="shared" si="49"/>
        <v>0.03</v>
      </c>
      <c r="K237">
        <f t="shared" si="50"/>
        <v>0</v>
      </c>
      <c r="L237">
        <f t="shared" si="51"/>
        <v>-0.03</v>
      </c>
      <c r="M237">
        <f t="shared" si="52"/>
        <v>-0.06</v>
      </c>
      <c r="N237">
        <f t="shared" si="53"/>
        <v>-0.09</v>
      </c>
      <c r="O237">
        <f t="shared" si="54"/>
        <v>-0.12</v>
      </c>
      <c r="P237">
        <f t="shared" si="55"/>
        <v>-0.15</v>
      </c>
    </row>
    <row r="238" spans="1:16" x14ac:dyDescent="0.3">
      <c r="A238" s="6">
        <v>46228</v>
      </c>
      <c r="B238" s="8">
        <f t="shared" si="42"/>
        <v>206</v>
      </c>
      <c r="C238" s="8">
        <f t="shared" si="43"/>
        <v>153</v>
      </c>
      <c r="D238" s="7">
        <f t="shared" si="44"/>
        <v>-0.15</v>
      </c>
      <c r="F238">
        <f t="shared" si="45"/>
        <v>0.15</v>
      </c>
      <c r="G238">
        <f t="shared" si="46"/>
        <v>0.12</v>
      </c>
      <c r="H238">
        <f t="shared" si="47"/>
        <v>0.09</v>
      </c>
      <c r="I238">
        <f t="shared" si="48"/>
        <v>0.06</v>
      </c>
      <c r="J238">
        <f t="shared" si="49"/>
        <v>0.03</v>
      </c>
      <c r="K238">
        <f t="shared" si="50"/>
        <v>0</v>
      </c>
      <c r="L238">
        <f t="shared" si="51"/>
        <v>-0.03</v>
      </c>
      <c r="M238">
        <f t="shared" si="52"/>
        <v>-0.06</v>
      </c>
      <c r="N238">
        <f t="shared" si="53"/>
        <v>-0.09</v>
      </c>
      <c r="O238">
        <f t="shared" si="54"/>
        <v>-0.12</v>
      </c>
      <c r="P238">
        <f t="shared" si="55"/>
        <v>-0.15</v>
      </c>
    </row>
    <row r="239" spans="1:16" x14ac:dyDescent="0.3">
      <c r="A239" s="6">
        <v>46229</v>
      </c>
      <c r="B239" s="8">
        <f t="shared" si="42"/>
        <v>207</v>
      </c>
      <c r="C239" s="8">
        <f t="shared" si="43"/>
        <v>152</v>
      </c>
      <c r="D239" s="7">
        <f t="shared" si="44"/>
        <v>-0.15</v>
      </c>
      <c r="F239">
        <f t="shared" si="45"/>
        <v>0.15</v>
      </c>
      <c r="G239">
        <f t="shared" si="46"/>
        <v>0.12</v>
      </c>
      <c r="H239">
        <f t="shared" si="47"/>
        <v>0.09</v>
      </c>
      <c r="I239">
        <f t="shared" si="48"/>
        <v>0.06</v>
      </c>
      <c r="J239">
        <f t="shared" si="49"/>
        <v>0.03</v>
      </c>
      <c r="K239">
        <f t="shared" si="50"/>
        <v>0</v>
      </c>
      <c r="L239">
        <f t="shared" si="51"/>
        <v>-0.03</v>
      </c>
      <c r="M239">
        <f t="shared" si="52"/>
        <v>-0.06</v>
      </c>
      <c r="N239">
        <f t="shared" si="53"/>
        <v>-0.09</v>
      </c>
      <c r="O239">
        <f t="shared" si="54"/>
        <v>-0.12</v>
      </c>
      <c r="P239">
        <f t="shared" si="55"/>
        <v>-0.15</v>
      </c>
    </row>
    <row r="240" spans="1:16" x14ac:dyDescent="0.3">
      <c r="A240" s="6">
        <v>46230</v>
      </c>
      <c r="B240" s="8">
        <f t="shared" si="42"/>
        <v>208</v>
      </c>
      <c r="C240" s="8">
        <f t="shared" si="43"/>
        <v>151</v>
      </c>
      <c r="D240" s="7">
        <f t="shared" si="44"/>
        <v>-0.15</v>
      </c>
      <c r="F240">
        <f t="shared" si="45"/>
        <v>0.15</v>
      </c>
      <c r="G240">
        <f t="shared" si="46"/>
        <v>0.12</v>
      </c>
      <c r="H240">
        <f t="shared" si="47"/>
        <v>0.09</v>
      </c>
      <c r="I240">
        <f t="shared" si="48"/>
        <v>0.06</v>
      </c>
      <c r="J240">
        <f t="shared" si="49"/>
        <v>0.03</v>
      </c>
      <c r="K240">
        <f t="shared" si="50"/>
        <v>0</v>
      </c>
      <c r="L240">
        <f t="shared" si="51"/>
        <v>-0.03</v>
      </c>
      <c r="M240">
        <f t="shared" si="52"/>
        <v>-0.06</v>
      </c>
      <c r="N240">
        <f t="shared" si="53"/>
        <v>-0.09</v>
      </c>
      <c r="O240">
        <f t="shared" si="54"/>
        <v>-0.12</v>
      </c>
      <c r="P240">
        <f t="shared" si="55"/>
        <v>-0.15</v>
      </c>
    </row>
    <row r="241" spans="1:16" x14ac:dyDescent="0.3">
      <c r="A241" s="6">
        <v>46231</v>
      </c>
      <c r="B241" s="8">
        <f t="shared" si="42"/>
        <v>209</v>
      </c>
      <c r="C241" s="8">
        <f t="shared" si="43"/>
        <v>150</v>
      </c>
      <c r="D241" s="7">
        <f t="shared" si="44"/>
        <v>-0.15</v>
      </c>
      <c r="F241">
        <f t="shared" si="45"/>
        <v>0.15</v>
      </c>
      <c r="G241">
        <f t="shared" si="46"/>
        <v>0.12</v>
      </c>
      <c r="H241">
        <f t="shared" si="47"/>
        <v>0.09</v>
      </c>
      <c r="I241">
        <f t="shared" si="48"/>
        <v>0.06</v>
      </c>
      <c r="J241">
        <f t="shared" si="49"/>
        <v>0.03</v>
      </c>
      <c r="K241">
        <f t="shared" si="50"/>
        <v>0</v>
      </c>
      <c r="L241">
        <f t="shared" si="51"/>
        <v>-0.03</v>
      </c>
      <c r="M241">
        <f t="shared" si="52"/>
        <v>-0.06</v>
      </c>
      <c r="N241">
        <f t="shared" si="53"/>
        <v>-0.09</v>
      </c>
      <c r="O241">
        <f t="shared" si="54"/>
        <v>-0.12</v>
      </c>
      <c r="P241">
        <f t="shared" si="55"/>
        <v>-0.15</v>
      </c>
    </row>
    <row r="242" spans="1:16" x14ac:dyDescent="0.3">
      <c r="A242" s="6">
        <v>46232</v>
      </c>
      <c r="B242" s="8">
        <f t="shared" si="42"/>
        <v>210</v>
      </c>
      <c r="C242" s="8">
        <f t="shared" si="43"/>
        <v>149</v>
      </c>
      <c r="D242" s="7">
        <f t="shared" si="44"/>
        <v>-0.15</v>
      </c>
      <c r="F242">
        <f t="shared" si="45"/>
        <v>0.15</v>
      </c>
      <c r="G242">
        <f t="shared" si="46"/>
        <v>0.12</v>
      </c>
      <c r="H242">
        <f t="shared" si="47"/>
        <v>0.09</v>
      </c>
      <c r="I242">
        <f t="shared" si="48"/>
        <v>0.06</v>
      </c>
      <c r="J242">
        <f t="shared" si="49"/>
        <v>0.03</v>
      </c>
      <c r="K242">
        <f t="shared" si="50"/>
        <v>0</v>
      </c>
      <c r="L242">
        <f t="shared" si="51"/>
        <v>-0.03</v>
      </c>
      <c r="M242">
        <f t="shared" si="52"/>
        <v>-0.06</v>
      </c>
      <c r="N242">
        <f t="shared" si="53"/>
        <v>-0.09</v>
      </c>
      <c r="O242">
        <f t="shared" si="54"/>
        <v>-0.12</v>
      </c>
      <c r="P242">
        <f t="shared" si="55"/>
        <v>-0.15</v>
      </c>
    </row>
    <row r="243" spans="1:16" x14ac:dyDescent="0.3">
      <c r="A243" s="6">
        <v>46233</v>
      </c>
      <c r="B243" s="8">
        <f t="shared" si="42"/>
        <v>211</v>
      </c>
      <c r="C243" s="8">
        <f t="shared" si="43"/>
        <v>148</v>
      </c>
      <c r="D243" s="7">
        <f t="shared" si="44"/>
        <v>-0.15</v>
      </c>
      <c r="F243">
        <f t="shared" si="45"/>
        <v>0.15</v>
      </c>
      <c r="G243">
        <f t="shared" si="46"/>
        <v>0.12</v>
      </c>
      <c r="H243">
        <f t="shared" si="47"/>
        <v>0.09</v>
      </c>
      <c r="I243">
        <f t="shared" si="48"/>
        <v>0.06</v>
      </c>
      <c r="J243">
        <f t="shared" si="49"/>
        <v>0.03</v>
      </c>
      <c r="K243">
        <f t="shared" si="50"/>
        <v>0</v>
      </c>
      <c r="L243">
        <f t="shared" si="51"/>
        <v>-0.03</v>
      </c>
      <c r="M243">
        <f t="shared" si="52"/>
        <v>-0.06</v>
      </c>
      <c r="N243">
        <f t="shared" si="53"/>
        <v>-0.09</v>
      </c>
      <c r="O243">
        <f t="shared" si="54"/>
        <v>-0.12</v>
      </c>
      <c r="P243">
        <f t="shared" si="55"/>
        <v>-0.15</v>
      </c>
    </row>
    <row r="244" spans="1:16" x14ac:dyDescent="0.3">
      <c r="A244" s="6">
        <v>46234</v>
      </c>
      <c r="B244" s="8">
        <f t="shared" si="42"/>
        <v>212</v>
      </c>
      <c r="C244" s="8">
        <f t="shared" si="43"/>
        <v>147</v>
      </c>
      <c r="D244" s="7">
        <f t="shared" si="44"/>
        <v>-0.15</v>
      </c>
      <c r="F244">
        <f t="shared" si="45"/>
        <v>0.15</v>
      </c>
      <c r="G244">
        <f t="shared" si="46"/>
        <v>0.12</v>
      </c>
      <c r="H244">
        <f t="shared" si="47"/>
        <v>0.09</v>
      </c>
      <c r="I244">
        <f t="shared" si="48"/>
        <v>0.06</v>
      </c>
      <c r="J244">
        <f t="shared" si="49"/>
        <v>0.03</v>
      </c>
      <c r="K244">
        <f t="shared" si="50"/>
        <v>0</v>
      </c>
      <c r="L244">
        <f t="shared" si="51"/>
        <v>-0.03</v>
      </c>
      <c r="M244">
        <f t="shared" si="52"/>
        <v>-0.06</v>
      </c>
      <c r="N244">
        <f t="shared" si="53"/>
        <v>-0.09</v>
      </c>
      <c r="O244">
        <f t="shared" si="54"/>
        <v>-0.12</v>
      </c>
      <c r="P244">
        <f t="shared" si="55"/>
        <v>-0.15</v>
      </c>
    </row>
    <row r="245" spans="1:16" x14ac:dyDescent="0.3">
      <c r="A245" s="6">
        <v>46235</v>
      </c>
      <c r="B245" s="8">
        <f t="shared" si="42"/>
        <v>213</v>
      </c>
      <c r="C245" s="8">
        <f t="shared" si="43"/>
        <v>146</v>
      </c>
      <c r="D245" s="7">
        <f t="shared" si="44"/>
        <v>-0.15</v>
      </c>
      <c r="F245">
        <f t="shared" si="45"/>
        <v>0.15</v>
      </c>
      <c r="G245">
        <f t="shared" si="46"/>
        <v>0.12</v>
      </c>
      <c r="H245">
        <f t="shared" si="47"/>
        <v>0.09</v>
      </c>
      <c r="I245">
        <f t="shared" si="48"/>
        <v>0.06</v>
      </c>
      <c r="J245">
        <f t="shared" si="49"/>
        <v>0.03</v>
      </c>
      <c r="K245">
        <f t="shared" si="50"/>
        <v>0</v>
      </c>
      <c r="L245">
        <f t="shared" si="51"/>
        <v>-0.03</v>
      </c>
      <c r="M245">
        <f t="shared" si="52"/>
        <v>-0.06</v>
      </c>
      <c r="N245">
        <f t="shared" si="53"/>
        <v>-0.09</v>
      </c>
      <c r="O245">
        <f t="shared" si="54"/>
        <v>-0.12</v>
      </c>
      <c r="P245">
        <f t="shared" si="55"/>
        <v>-0.15</v>
      </c>
    </row>
    <row r="246" spans="1:16" x14ac:dyDescent="0.3">
      <c r="A246" s="6">
        <v>46236</v>
      </c>
      <c r="B246" s="8">
        <f t="shared" si="42"/>
        <v>214</v>
      </c>
      <c r="C246" s="8">
        <f t="shared" si="43"/>
        <v>145</v>
      </c>
      <c r="D246" s="7">
        <f t="shared" si="44"/>
        <v>-0.15</v>
      </c>
      <c r="F246">
        <f t="shared" si="45"/>
        <v>0.15</v>
      </c>
      <c r="G246">
        <f t="shared" si="46"/>
        <v>0.12</v>
      </c>
      <c r="H246">
        <f t="shared" si="47"/>
        <v>0.09</v>
      </c>
      <c r="I246">
        <f t="shared" si="48"/>
        <v>0.06</v>
      </c>
      <c r="J246">
        <f t="shared" si="49"/>
        <v>0.03</v>
      </c>
      <c r="K246">
        <f t="shared" si="50"/>
        <v>0</v>
      </c>
      <c r="L246">
        <f t="shared" si="51"/>
        <v>-0.03</v>
      </c>
      <c r="M246">
        <f t="shared" si="52"/>
        <v>-0.06</v>
      </c>
      <c r="N246">
        <f t="shared" si="53"/>
        <v>-0.09</v>
      </c>
      <c r="O246">
        <f t="shared" si="54"/>
        <v>-0.12</v>
      </c>
      <c r="P246">
        <f t="shared" si="55"/>
        <v>-0.15</v>
      </c>
    </row>
    <row r="247" spans="1:16" x14ac:dyDescent="0.3">
      <c r="A247" s="6">
        <v>46237</v>
      </c>
      <c r="B247" s="8">
        <f t="shared" si="42"/>
        <v>215</v>
      </c>
      <c r="C247" s="8">
        <f t="shared" si="43"/>
        <v>144</v>
      </c>
      <c r="D247" s="7">
        <f t="shared" si="44"/>
        <v>-0.15</v>
      </c>
      <c r="F247">
        <f t="shared" si="45"/>
        <v>0.15</v>
      </c>
      <c r="G247">
        <f t="shared" si="46"/>
        <v>0.12</v>
      </c>
      <c r="H247">
        <f t="shared" si="47"/>
        <v>0.09</v>
      </c>
      <c r="I247">
        <f t="shared" si="48"/>
        <v>0.06</v>
      </c>
      <c r="J247">
        <f t="shared" si="49"/>
        <v>0.03</v>
      </c>
      <c r="K247">
        <f t="shared" si="50"/>
        <v>0</v>
      </c>
      <c r="L247">
        <f t="shared" si="51"/>
        <v>-0.03</v>
      </c>
      <c r="M247">
        <f t="shared" si="52"/>
        <v>-0.06</v>
      </c>
      <c r="N247">
        <f t="shared" si="53"/>
        <v>-0.09</v>
      </c>
      <c r="O247">
        <f t="shared" si="54"/>
        <v>-0.12</v>
      </c>
      <c r="P247">
        <f t="shared" si="55"/>
        <v>-0.15</v>
      </c>
    </row>
    <row r="248" spans="1:16" x14ac:dyDescent="0.3">
      <c r="A248" s="6">
        <v>46238</v>
      </c>
      <c r="B248" s="8">
        <f t="shared" si="42"/>
        <v>216</v>
      </c>
      <c r="C248" s="8">
        <f t="shared" si="43"/>
        <v>143</v>
      </c>
      <c r="D248" s="7">
        <f t="shared" si="44"/>
        <v>-0.15</v>
      </c>
      <c r="F248">
        <f t="shared" si="45"/>
        <v>0.15</v>
      </c>
      <c r="G248">
        <f t="shared" si="46"/>
        <v>0.12</v>
      </c>
      <c r="H248">
        <f t="shared" si="47"/>
        <v>0.09</v>
      </c>
      <c r="I248">
        <f t="shared" si="48"/>
        <v>0.06</v>
      </c>
      <c r="J248">
        <f t="shared" si="49"/>
        <v>0.03</v>
      </c>
      <c r="K248">
        <f t="shared" si="50"/>
        <v>0</v>
      </c>
      <c r="L248">
        <f t="shared" si="51"/>
        <v>-0.03</v>
      </c>
      <c r="M248">
        <f t="shared" si="52"/>
        <v>-0.06</v>
      </c>
      <c r="N248">
        <f t="shared" si="53"/>
        <v>-0.09</v>
      </c>
      <c r="O248">
        <f t="shared" si="54"/>
        <v>-0.12</v>
      </c>
      <c r="P248">
        <f t="shared" si="55"/>
        <v>-0.15</v>
      </c>
    </row>
    <row r="249" spans="1:16" x14ac:dyDescent="0.3">
      <c r="A249" s="6">
        <v>46239</v>
      </c>
      <c r="B249" s="8">
        <f t="shared" si="42"/>
        <v>217</v>
      </c>
      <c r="C249" s="8">
        <f t="shared" si="43"/>
        <v>142</v>
      </c>
      <c r="D249" s="7">
        <f t="shared" si="44"/>
        <v>-0.15</v>
      </c>
      <c r="F249">
        <f t="shared" si="45"/>
        <v>0.15</v>
      </c>
      <c r="G249">
        <f t="shared" si="46"/>
        <v>0.12</v>
      </c>
      <c r="H249">
        <f t="shared" si="47"/>
        <v>0.09</v>
      </c>
      <c r="I249">
        <f t="shared" si="48"/>
        <v>0.06</v>
      </c>
      <c r="J249">
        <f t="shared" si="49"/>
        <v>0.03</v>
      </c>
      <c r="K249">
        <f t="shared" si="50"/>
        <v>0</v>
      </c>
      <c r="L249">
        <f t="shared" si="51"/>
        <v>-0.03</v>
      </c>
      <c r="M249">
        <f t="shared" si="52"/>
        <v>-0.06</v>
      </c>
      <c r="N249">
        <f t="shared" si="53"/>
        <v>-0.09</v>
      </c>
      <c r="O249">
        <f t="shared" si="54"/>
        <v>-0.12</v>
      </c>
      <c r="P249">
        <f t="shared" si="55"/>
        <v>-0.15</v>
      </c>
    </row>
    <row r="250" spans="1:16" x14ac:dyDescent="0.3">
      <c r="A250" s="6">
        <v>46240</v>
      </c>
      <c r="B250" s="8">
        <f t="shared" si="42"/>
        <v>218</v>
      </c>
      <c r="C250" s="8">
        <f t="shared" si="43"/>
        <v>141</v>
      </c>
      <c r="D250" s="7">
        <f t="shared" si="44"/>
        <v>-0.15</v>
      </c>
      <c r="F250">
        <f t="shared" si="45"/>
        <v>0.15</v>
      </c>
      <c r="G250">
        <f t="shared" si="46"/>
        <v>0.12</v>
      </c>
      <c r="H250">
        <f t="shared" si="47"/>
        <v>0.09</v>
      </c>
      <c r="I250">
        <f t="shared" si="48"/>
        <v>0.06</v>
      </c>
      <c r="J250">
        <f t="shared" si="49"/>
        <v>0.03</v>
      </c>
      <c r="K250">
        <f t="shared" si="50"/>
        <v>0</v>
      </c>
      <c r="L250">
        <f t="shared" si="51"/>
        <v>-0.03</v>
      </c>
      <c r="M250">
        <f t="shared" si="52"/>
        <v>-0.06</v>
      </c>
      <c r="N250">
        <f t="shared" si="53"/>
        <v>-0.09</v>
      </c>
      <c r="O250">
        <f t="shared" si="54"/>
        <v>-0.12</v>
      </c>
      <c r="P250">
        <f t="shared" si="55"/>
        <v>-0.15</v>
      </c>
    </row>
    <row r="251" spans="1:16" x14ac:dyDescent="0.3">
      <c r="A251" s="6">
        <v>46241</v>
      </c>
      <c r="B251" s="8">
        <f t="shared" si="42"/>
        <v>219</v>
      </c>
      <c r="C251" s="8">
        <f t="shared" si="43"/>
        <v>140</v>
      </c>
      <c r="D251" s="7">
        <f t="shared" si="44"/>
        <v>-0.15</v>
      </c>
      <c r="F251">
        <f t="shared" si="45"/>
        <v>0.15</v>
      </c>
      <c r="G251">
        <f t="shared" si="46"/>
        <v>0.12</v>
      </c>
      <c r="H251">
        <f t="shared" si="47"/>
        <v>0.09</v>
      </c>
      <c r="I251">
        <f t="shared" si="48"/>
        <v>0.06</v>
      </c>
      <c r="J251">
        <f t="shared" si="49"/>
        <v>0.03</v>
      </c>
      <c r="K251">
        <f t="shared" si="50"/>
        <v>0</v>
      </c>
      <c r="L251">
        <f t="shared" si="51"/>
        <v>-0.03</v>
      </c>
      <c r="M251">
        <f t="shared" si="52"/>
        <v>-0.06</v>
      </c>
      <c r="N251">
        <f t="shared" si="53"/>
        <v>-0.09</v>
      </c>
      <c r="O251">
        <f t="shared" si="54"/>
        <v>-0.12</v>
      </c>
      <c r="P251">
        <f t="shared" si="55"/>
        <v>-0.15</v>
      </c>
    </row>
    <row r="252" spans="1:16" x14ac:dyDescent="0.3">
      <c r="A252" s="6">
        <v>46242</v>
      </c>
      <c r="B252" s="8">
        <f t="shared" si="42"/>
        <v>220</v>
      </c>
      <c r="C252" s="8">
        <f t="shared" si="43"/>
        <v>139</v>
      </c>
      <c r="D252" s="7">
        <f t="shared" si="44"/>
        <v>-0.15</v>
      </c>
      <c r="F252">
        <f t="shared" si="45"/>
        <v>0.15</v>
      </c>
      <c r="G252">
        <f t="shared" si="46"/>
        <v>0.12</v>
      </c>
      <c r="H252">
        <f t="shared" si="47"/>
        <v>0.09</v>
      </c>
      <c r="I252">
        <f t="shared" si="48"/>
        <v>0.06</v>
      </c>
      <c r="J252">
        <f t="shared" si="49"/>
        <v>0.03</v>
      </c>
      <c r="K252">
        <f t="shared" si="50"/>
        <v>0</v>
      </c>
      <c r="L252">
        <f t="shared" si="51"/>
        <v>-0.03</v>
      </c>
      <c r="M252">
        <f t="shared" si="52"/>
        <v>-0.06</v>
      </c>
      <c r="N252">
        <f t="shared" si="53"/>
        <v>-0.09</v>
      </c>
      <c r="O252">
        <f t="shared" si="54"/>
        <v>-0.12</v>
      </c>
      <c r="P252">
        <f t="shared" si="55"/>
        <v>-0.15</v>
      </c>
    </row>
    <row r="253" spans="1:16" x14ac:dyDescent="0.3">
      <c r="A253" s="6">
        <v>46243</v>
      </c>
      <c r="B253" s="8">
        <f t="shared" si="42"/>
        <v>221</v>
      </c>
      <c r="C253" s="8">
        <f t="shared" si="43"/>
        <v>138</v>
      </c>
      <c r="D253" s="7">
        <f t="shared" si="44"/>
        <v>-0.15</v>
      </c>
      <c r="F253">
        <f t="shared" si="45"/>
        <v>0.15</v>
      </c>
      <c r="G253">
        <f t="shared" si="46"/>
        <v>0.12</v>
      </c>
      <c r="H253">
        <f t="shared" si="47"/>
        <v>0.09</v>
      </c>
      <c r="I253">
        <f t="shared" si="48"/>
        <v>0.06</v>
      </c>
      <c r="J253">
        <f t="shared" si="49"/>
        <v>0.03</v>
      </c>
      <c r="K253">
        <f t="shared" si="50"/>
        <v>0</v>
      </c>
      <c r="L253">
        <f t="shared" si="51"/>
        <v>-0.03</v>
      </c>
      <c r="M253">
        <f t="shared" si="52"/>
        <v>-0.06</v>
      </c>
      <c r="N253">
        <f t="shared" si="53"/>
        <v>-0.09</v>
      </c>
      <c r="O253">
        <f t="shared" si="54"/>
        <v>-0.12</v>
      </c>
      <c r="P253">
        <f t="shared" si="55"/>
        <v>-0.15</v>
      </c>
    </row>
    <row r="254" spans="1:16" x14ac:dyDescent="0.3">
      <c r="A254" s="6">
        <v>46244</v>
      </c>
      <c r="B254" s="8">
        <f t="shared" si="42"/>
        <v>222</v>
      </c>
      <c r="C254" s="8">
        <f t="shared" si="43"/>
        <v>137</v>
      </c>
      <c r="D254" s="7">
        <f t="shared" si="44"/>
        <v>-0.15</v>
      </c>
      <c r="F254">
        <f t="shared" si="45"/>
        <v>0.15</v>
      </c>
      <c r="G254">
        <f t="shared" si="46"/>
        <v>0.12</v>
      </c>
      <c r="H254">
        <f t="shared" si="47"/>
        <v>0.09</v>
      </c>
      <c r="I254">
        <f t="shared" si="48"/>
        <v>0.06</v>
      </c>
      <c r="J254">
        <f t="shared" si="49"/>
        <v>0.03</v>
      </c>
      <c r="K254">
        <f t="shared" si="50"/>
        <v>0</v>
      </c>
      <c r="L254">
        <f t="shared" si="51"/>
        <v>-0.03</v>
      </c>
      <c r="M254">
        <f t="shared" si="52"/>
        <v>-0.06</v>
      </c>
      <c r="N254">
        <f t="shared" si="53"/>
        <v>-0.09</v>
      </c>
      <c r="O254">
        <f t="shared" si="54"/>
        <v>-0.12</v>
      </c>
      <c r="P254">
        <f t="shared" si="55"/>
        <v>-0.15</v>
      </c>
    </row>
    <row r="255" spans="1:16" x14ac:dyDescent="0.3">
      <c r="A255" s="6">
        <v>46245</v>
      </c>
      <c r="B255" s="8">
        <f t="shared" si="42"/>
        <v>223</v>
      </c>
      <c r="C255" s="8">
        <f t="shared" si="43"/>
        <v>136</v>
      </c>
      <c r="D255" s="7">
        <f t="shared" si="44"/>
        <v>-0.15</v>
      </c>
      <c r="F255">
        <f t="shared" si="45"/>
        <v>0.15</v>
      </c>
      <c r="G255">
        <f t="shared" si="46"/>
        <v>0.12</v>
      </c>
      <c r="H255">
        <f t="shared" si="47"/>
        <v>0.09</v>
      </c>
      <c r="I255">
        <f t="shared" si="48"/>
        <v>0.06</v>
      </c>
      <c r="J255">
        <f t="shared" si="49"/>
        <v>0.03</v>
      </c>
      <c r="K255">
        <f t="shared" si="50"/>
        <v>0</v>
      </c>
      <c r="L255">
        <f t="shared" si="51"/>
        <v>-0.03</v>
      </c>
      <c r="M255">
        <f t="shared" si="52"/>
        <v>-0.06</v>
      </c>
      <c r="N255">
        <f t="shared" si="53"/>
        <v>-0.09</v>
      </c>
      <c r="O255">
        <f t="shared" si="54"/>
        <v>-0.12</v>
      </c>
      <c r="P255">
        <f t="shared" si="55"/>
        <v>-0.15</v>
      </c>
    </row>
    <row r="256" spans="1:16" x14ac:dyDescent="0.3">
      <c r="A256" s="6">
        <v>46246</v>
      </c>
      <c r="B256" s="8">
        <f t="shared" si="42"/>
        <v>224</v>
      </c>
      <c r="C256" s="8">
        <f t="shared" si="43"/>
        <v>135</v>
      </c>
      <c r="D256" s="7">
        <f t="shared" si="44"/>
        <v>-0.15</v>
      </c>
      <c r="F256">
        <f t="shared" si="45"/>
        <v>0.15</v>
      </c>
      <c r="G256">
        <f t="shared" si="46"/>
        <v>0.12</v>
      </c>
      <c r="H256">
        <f t="shared" si="47"/>
        <v>0.09</v>
      </c>
      <c r="I256">
        <f t="shared" si="48"/>
        <v>0.06</v>
      </c>
      <c r="J256">
        <f t="shared" si="49"/>
        <v>0.03</v>
      </c>
      <c r="K256">
        <f t="shared" si="50"/>
        <v>0</v>
      </c>
      <c r="L256">
        <f t="shared" si="51"/>
        <v>-0.03</v>
      </c>
      <c r="M256">
        <f t="shared" si="52"/>
        <v>-0.06</v>
      </c>
      <c r="N256">
        <f t="shared" si="53"/>
        <v>-0.09</v>
      </c>
      <c r="O256">
        <f t="shared" si="54"/>
        <v>-0.12</v>
      </c>
      <c r="P256">
        <f t="shared" si="55"/>
        <v>-0.15</v>
      </c>
    </row>
    <row r="257" spans="1:16" x14ac:dyDescent="0.3">
      <c r="A257" s="6">
        <v>46247</v>
      </c>
      <c r="B257" s="8">
        <f t="shared" si="42"/>
        <v>225</v>
      </c>
      <c r="C257" s="8">
        <f t="shared" si="43"/>
        <v>134</v>
      </c>
      <c r="D257" s="7">
        <f t="shared" si="44"/>
        <v>-0.15</v>
      </c>
      <c r="F257">
        <f t="shared" si="45"/>
        <v>0.15</v>
      </c>
      <c r="G257">
        <f t="shared" si="46"/>
        <v>0.12</v>
      </c>
      <c r="H257">
        <f t="shared" si="47"/>
        <v>0.09</v>
      </c>
      <c r="I257">
        <f t="shared" si="48"/>
        <v>0.06</v>
      </c>
      <c r="J257">
        <f t="shared" si="49"/>
        <v>0.03</v>
      </c>
      <c r="K257">
        <f t="shared" si="50"/>
        <v>0</v>
      </c>
      <c r="L257">
        <f t="shared" si="51"/>
        <v>-0.03</v>
      </c>
      <c r="M257">
        <f t="shared" si="52"/>
        <v>-0.06</v>
      </c>
      <c r="N257">
        <f t="shared" si="53"/>
        <v>-0.09</v>
      </c>
      <c r="O257">
        <f t="shared" si="54"/>
        <v>-0.12</v>
      </c>
      <c r="P257">
        <f t="shared" si="55"/>
        <v>-0.15</v>
      </c>
    </row>
    <row r="258" spans="1:16" x14ac:dyDescent="0.3">
      <c r="A258" s="6">
        <v>46248</v>
      </c>
      <c r="B258" s="8">
        <f t="shared" si="42"/>
        <v>226</v>
      </c>
      <c r="C258" s="8">
        <f t="shared" si="43"/>
        <v>133</v>
      </c>
      <c r="D258" s="7">
        <f t="shared" si="44"/>
        <v>-0.15</v>
      </c>
      <c r="F258">
        <f t="shared" si="45"/>
        <v>0.15</v>
      </c>
      <c r="G258">
        <f t="shared" si="46"/>
        <v>0.12</v>
      </c>
      <c r="H258">
        <f t="shared" si="47"/>
        <v>0.09</v>
      </c>
      <c r="I258">
        <f t="shared" si="48"/>
        <v>0.06</v>
      </c>
      <c r="J258">
        <f t="shared" si="49"/>
        <v>0.03</v>
      </c>
      <c r="K258">
        <f t="shared" si="50"/>
        <v>0</v>
      </c>
      <c r="L258">
        <f t="shared" si="51"/>
        <v>-0.03</v>
      </c>
      <c r="M258">
        <f t="shared" si="52"/>
        <v>-0.06</v>
      </c>
      <c r="N258">
        <f t="shared" si="53"/>
        <v>-0.09</v>
      </c>
      <c r="O258">
        <f t="shared" si="54"/>
        <v>-0.12</v>
      </c>
      <c r="P258">
        <f t="shared" si="55"/>
        <v>-0.15</v>
      </c>
    </row>
    <row r="259" spans="1:16" x14ac:dyDescent="0.3">
      <c r="A259" s="6">
        <v>46249</v>
      </c>
      <c r="B259" s="8">
        <f t="shared" ref="B259:B322" si="56" xml:space="preserve"> A259 - DATE(YEAR(A259), 1, 1) + 1</f>
        <v>227</v>
      </c>
      <c r="C259" s="8">
        <f t="shared" ref="C259:C322" si="57">MIN(ABS(359-B259), 365-ABS(359-B259))</f>
        <v>132</v>
      </c>
      <c r="D259" s="7">
        <f t="shared" ref="D259:D322" si="58">MAX(0, $T$4 - (C259/$U$4)) ^ $T$7 - $U$7</f>
        <v>-0.15</v>
      </c>
      <c r="F259">
        <f t="shared" ref="F259:F322" si="59">(-10/10) * D259</f>
        <v>0.15</v>
      </c>
      <c r="G259">
        <f t="shared" ref="G259:G322" si="60">(-8/10) * $D259</f>
        <v>0.12</v>
      </c>
      <c r="H259">
        <f t="shared" ref="H259:H322" si="61">(-6/10) * $D259</f>
        <v>0.09</v>
      </c>
      <c r="I259">
        <f t="shared" ref="I259:I322" si="62">(-4/10) * $D259</f>
        <v>0.06</v>
      </c>
      <c r="J259">
        <f t="shared" ref="J259:J322" si="63">(-2/10) * $D259</f>
        <v>0.03</v>
      </c>
      <c r="K259">
        <f t="shared" ref="K259:K322" si="64">(0/10) * $D259</f>
        <v>0</v>
      </c>
      <c r="L259">
        <f t="shared" ref="L259:L322" si="65">(2/10) * $D259</f>
        <v>-0.03</v>
      </c>
      <c r="M259">
        <f t="shared" ref="M259:M322" si="66">(4/10) * $D259</f>
        <v>-0.06</v>
      </c>
      <c r="N259">
        <f t="shared" ref="N259:N322" si="67">(6/10) * $D259</f>
        <v>-0.09</v>
      </c>
      <c r="O259">
        <f t="shared" ref="O259:O322" si="68">(8/10) * $D259</f>
        <v>-0.12</v>
      </c>
      <c r="P259">
        <f t="shared" ref="P259:P322" si="69">(10/10) * $D259</f>
        <v>-0.15</v>
      </c>
    </row>
    <row r="260" spans="1:16" x14ac:dyDescent="0.3">
      <c r="A260" s="6">
        <v>46250</v>
      </c>
      <c r="B260" s="8">
        <f t="shared" si="56"/>
        <v>228</v>
      </c>
      <c r="C260" s="8">
        <f t="shared" si="57"/>
        <v>131</v>
      </c>
      <c r="D260" s="7">
        <f t="shared" si="58"/>
        <v>-0.15</v>
      </c>
      <c r="F260">
        <f t="shared" si="59"/>
        <v>0.15</v>
      </c>
      <c r="G260">
        <f t="shared" si="60"/>
        <v>0.12</v>
      </c>
      <c r="H260">
        <f t="shared" si="61"/>
        <v>0.09</v>
      </c>
      <c r="I260">
        <f t="shared" si="62"/>
        <v>0.06</v>
      </c>
      <c r="J260">
        <f t="shared" si="63"/>
        <v>0.03</v>
      </c>
      <c r="K260">
        <f t="shared" si="64"/>
        <v>0</v>
      </c>
      <c r="L260">
        <f t="shared" si="65"/>
        <v>-0.03</v>
      </c>
      <c r="M260">
        <f t="shared" si="66"/>
        <v>-0.06</v>
      </c>
      <c r="N260">
        <f t="shared" si="67"/>
        <v>-0.09</v>
      </c>
      <c r="O260">
        <f t="shared" si="68"/>
        <v>-0.12</v>
      </c>
      <c r="P260">
        <f t="shared" si="69"/>
        <v>-0.15</v>
      </c>
    </row>
    <row r="261" spans="1:16" x14ac:dyDescent="0.3">
      <c r="A261" s="6">
        <v>46251</v>
      </c>
      <c r="B261" s="8">
        <f t="shared" si="56"/>
        <v>229</v>
      </c>
      <c r="C261" s="8">
        <f t="shared" si="57"/>
        <v>130</v>
      </c>
      <c r="D261" s="7">
        <f t="shared" si="58"/>
        <v>-0.15</v>
      </c>
      <c r="F261">
        <f t="shared" si="59"/>
        <v>0.15</v>
      </c>
      <c r="G261">
        <f t="shared" si="60"/>
        <v>0.12</v>
      </c>
      <c r="H261">
        <f t="shared" si="61"/>
        <v>0.09</v>
      </c>
      <c r="I261">
        <f t="shared" si="62"/>
        <v>0.06</v>
      </c>
      <c r="J261">
        <f t="shared" si="63"/>
        <v>0.03</v>
      </c>
      <c r="K261">
        <f t="shared" si="64"/>
        <v>0</v>
      </c>
      <c r="L261">
        <f t="shared" si="65"/>
        <v>-0.03</v>
      </c>
      <c r="M261">
        <f t="shared" si="66"/>
        <v>-0.06</v>
      </c>
      <c r="N261">
        <f t="shared" si="67"/>
        <v>-0.09</v>
      </c>
      <c r="O261">
        <f t="shared" si="68"/>
        <v>-0.12</v>
      </c>
      <c r="P261">
        <f t="shared" si="69"/>
        <v>-0.15</v>
      </c>
    </row>
    <row r="262" spans="1:16" x14ac:dyDescent="0.3">
      <c r="A262" s="6">
        <v>46252</v>
      </c>
      <c r="B262" s="8">
        <f t="shared" si="56"/>
        <v>230</v>
      </c>
      <c r="C262" s="8">
        <f t="shared" si="57"/>
        <v>129</v>
      </c>
      <c r="D262" s="7">
        <f t="shared" si="58"/>
        <v>-0.15</v>
      </c>
      <c r="F262">
        <f t="shared" si="59"/>
        <v>0.15</v>
      </c>
      <c r="G262">
        <f t="shared" si="60"/>
        <v>0.12</v>
      </c>
      <c r="H262">
        <f t="shared" si="61"/>
        <v>0.09</v>
      </c>
      <c r="I262">
        <f t="shared" si="62"/>
        <v>0.06</v>
      </c>
      <c r="J262">
        <f t="shared" si="63"/>
        <v>0.03</v>
      </c>
      <c r="K262">
        <f t="shared" si="64"/>
        <v>0</v>
      </c>
      <c r="L262">
        <f t="shared" si="65"/>
        <v>-0.03</v>
      </c>
      <c r="M262">
        <f t="shared" si="66"/>
        <v>-0.06</v>
      </c>
      <c r="N262">
        <f t="shared" si="67"/>
        <v>-0.09</v>
      </c>
      <c r="O262">
        <f t="shared" si="68"/>
        <v>-0.12</v>
      </c>
      <c r="P262">
        <f t="shared" si="69"/>
        <v>-0.15</v>
      </c>
    </row>
    <row r="263" spans="1:16" x14ac:dyDescent="0.3">
      <c r="A263" s="6">
        <v>46253</v>
      </c>
      <c r="B263" s="8">
        <f t="shared" si="56"/>
        <v>231</v>
      </c>
      <c r="C263" s="8">
        <f t="shared" si="57"/>
        <v>128</v>
      </c>
      <c r="D263" s="7">
        <f t="shared" si="58"/>
        <v>-0.15</v>
      </c>
      <c r="F263">
        <f t="shared" si="59"/>
        <v>0.15</v>
      </c>
      <c r="G263">
        <f t="shared" si="60"/>
        <v>0.12</v>
      </c>
      <c r="H263">
        <f t="shared" si="61"/>
        <v>0.09</v>
      </c>
      <c r="I263">
        <f t="shared" si="62"/>
        <v>0.06</v>
      </c>
      <c r="J263">
        <f t="shared" si="63"/>
        <v>0.03</v>
      </c>
      <c r="K263">
        <f t="shared" si="64"/>
        <v>0</v>
      </c>
      <c r="L263">
        <f t="shared" si="65"/>
        <v>-0.03</v>
      </c>
      <c r="M263">
        <f t="shared" si="66"/>
        <v>-0.06</v>
      </c>
      <c r="N263">
        <f t="shared" si="67"/>
        <v>-0.09</v>
      </c>
      <c r="O263">
        <f t="shared" si="68"/>
        <v>-0.12</v>
      </c>
      <c r="P263">
        <f t="shared" si="69"/>
        <v>-0.15</v>
      </c>
    </row>
    <row r="264" spans="1:16" x14ac:dyDescent="0.3">
      <c r="A264" s="6">
        <v>46254</v>
      </c>
      <c r="B264" s="8">
        <f t="shared" si="56"/>
        <v>232</v>
      </c>
      <c r="C264" s="8">
        <f t="shared" si="57"/>
        <v>127</v>
      </c>
      <c r="D264" s="7">
        <f t="shared" si="58"/>
        <v>-0.15</v>
      </c>
      <c r="F264">
        <f t="shared" si="59"/>
        <v>0.15</v>
      </c>
      <c r="G264">
        <f t="shared" si="60"/>
        <v>0.12</v>
      </c>
      <c r="H264">
        <f t="shared" si="61"/>
        <v>0.09</v>
      </c>
      <c r="I264">
        <f t="shared" si="62"/>
        <v>0.06</v>
      </c>
      <c r="J264">
        <f t="shared" si="63"/>
        <v>0.03</v>
      </c>
      <c r="K264">
        <f t="shared" si="64"/>
        <v>0</v>
      </c>
      <c r="L264">
        <f t="shared" si="65"/>
        <v>-0.03</v>
      </c>
      <c r="M264">
        <f t="shared" si="66"/>
        <v>-0.06</v>
      </c>
      <c r="N264">
        <f t="shared" si="67"/>
        <v>-0.09</v>
      </c>
      <c r="O264">
        <f t="shared" si="68"/>
        <v>-0.12</v>
      </c>
      <c r="P264">
        <f t="shared" si="69"/>
        <v>-0.15</v>
      </c>
    </row>
    <row r="265" spans="1:16" x14ac:dyDescent="0.3">
      <c r="A265" s="6">
        <v>46255</v>
      </c>
      <c r="B265" s="8">
        <f t="shared" si="56"/>
        <v>233</v>
      </c>
      <c r="C265" s="8">
        <f t="shared" si="57"/>
        <v>126</v>
      </c>
      <c r="D265" s="7">
        <f t="shared" si="58"/>
        <v>-0.15</v>
      </c>
      <c r="F265">
        <f t="shared" si="59"/>
        <v>0.15</v>
      </c>
      <c r="G265">
        <f t="shared" si="60"/>
        <v>0.12</v>
      </c>
      <c r="H265">
        <f t="shared" si="61"/>
        <v>0.09</v>
      </c>
      <c r="I265">
        <f t="shared" si="62"/>
        <v>0.06</v>
      </c>
      <c r="J265">
        <f t="shared" si="63"/>
        <v>0.03</v>
      </c>
      <c r="K265">
        <f t="shared" si="64"/>
        <v>0</v>
      </c>
      <c r="L265">
        <f t="shared" si="65"/>
        <v>-0.03</v>
      </c>
      <c r="M265">
        <f t="shared" si="66"/>
        <v>-0.06</v>
      </c>
      <c r="N265">
        <f t="shared" si="67"/>
        <v>-0.09</v>
      </c>
      <c r="O265">
        <f t="shared" si="68"/>
        <v>-0.12</v>
      </c>
      <c r="P265">
        <f t="shared" si="69"/>
        <v>-0.15</v>
      </c>
    </row>
    <row r="266" spans="1:16" x14ac:dyDescent="0.3">
      <c r="A266" s="6">
        <v>46256</v>
      </c>
      <c r="B266" s="8">
        <f t="shared" si="56"/>
        <v>234</v>
      </c>
      <c r="C266" s="8">
        <f t="shared" si="57"/>
        <v>125</v>
      </c>
      <c r="D266" s="7">
        <f t="shared" si="58"/>
        <v>-0.15</v>
      </c>
      <c r="F266">
        <f t="shared" si="59"/>
        <v>0.15</v>
      </c>
      <c r="G266">
        <f t="shared" si="60"/>
        <v>0.12</v>
      </c>
      <c r="H266">
        <f t="shared" si="61"/>
        <v>0.09</v>
      </c>
      <c r="I266">
        <f t="shared" si="62"/>
        <v>0.06</v>
      </c>
      <c r="J266">
        <f t="shared" si="63"/>
        <v>0.03</v>
      </c>
      <c r="K266">
        <f t="shared" si="64"/>
        <v>0</v>
      </c>
      <c r="L266">
        <f t="shared" si="65"/>
        <v>-0.03</v>
      </c>
      <c r="M266">
        <f t="shared" si="66"/>
        <v>-0.06</v>
      </c>
      <c r="N266">
        <f t="shared" si="67"/>
        <v>-0.09</v>
      </c>
      <c r="O266">
        <f t="shared" si="68"/>
        <v>-0.12</v>
      </c>
      <c r="P266">
        <f t="shared" si="69"/>
        <v>-0.15</v>
      </c>
    </row>
    <row r="267" spans="1:16" x14ac:dyDescent="0.3">
      <c r="A267" s="6">
        <v>46257</v>
      </c>
      <c r="B267" s="8">
        <f t="shared" si="56"/>
        <v>235</v>
      </c>
      <c r="C267" s="8">
        <f t="shared" si="57"/>
        <v>124</v>
      </c>
      <c r="D267" s="7">
        <f t="shared" si="58"/>
        <v>-0.15</v>
      </c>
      <c r="F267">
        <f t="shared" si="59"/>
        <v>0.15</v>
      </c>
      <c r="G267">
        <f t="shared" si="60"/>
        <v>0.12</v>
      </c>
      <c r="H267">
        <f t="shared" si="61"/>
        <v>0.09</v>
      </c>
      <c r="I267">
        <f t="shared" si="62"/>
        <v>0.06</v>
      </c>
      <c r="J267">
        <f t="shared" si="63"/>
        <v>0.03</v>
      </c>
      <c r="K267">
        <f t="shared" si="64"/>
        <v>0</v>
      </c>
      <c r="L267">
        <f t="shared" si="65"/>
        <v>-0.03</v>
      </c>
      <c r="M267">
        <f t="shared" si="66"/>
        <v>-0.06</v>
      </c>
      <c r="N267">
        <f t="shared" si="67"/>
        <v>-0.09</v>
      </c>
      <c r="O267">
        <f t="shared" si="68"/>
        <v>-0.12</v>
      </c>
      <c r="P267">
        <f t="shared" si="69"/>
        <v>-0.15</v>
      </c>
    </row>
    <row r="268" spans="1:16" x14ac:dyDescent="0.3">
      <c r="A268" s="6">
        <v>46258</v>
      </c>
      <c r="B268" s="8">
        <f t="shared" si="56"/>
        <v>236</v>
      </c>
      <c r="C268" s="8">
        <f t="shared" si="57"/>
        <v>123</v>
      </c>
      <c r="D268" s="7">
        <f t="shared" si="58"/>
        <v>-0.15</v>
      </c>
      <c r="F268">
        <f t="shared" si="59"/>
        <v>0.15</v>
      </c>
      <c r="G268">
        <f t="shared" si="60"/>
        <v>0.12</v>
      </c>
      <c r="H268">
        <f t="shared" si="61"/>
        <v>0.09</v>
      </c>
      <c r="I268">
        <f t="shared" si="62"/>
        <v>0.06</v>
      </c>
      <c r="J268">
        <f t="shared" si="63"/>
        <v>0.03</v>
      </c>
      <c r="K268">
        <f t="shared" si="64"/>
        <v>0</v>
      </c>
      <c r="L268">
        <f t="shared" si="65"/>
        <v>-0.03</v>
      </c>
      <c r="M268">
        <f t="shared" si="66"/>
        <v>-0.06</v>
      </c>
      <c r="N268">
        <f t="shared" si="67"/>
        <v>-0.09</v>
      </c>
      <c r="O268">
        <f t="shared" si="68"/>
        <v>-0.12</v>
      </c>
      <c r="P268">
        <f t="shared" si="69"/>
        <v>-0.15</v>
      </c>
    </row>
    <row r="269" spans="1:16" x14ac:dyDescent="0.3">
      <c r="A269" s="6">
        <v>46259</v>
      </c>
      <c r="B269" s="8">
        <f t="shared" si="56"/>
        <v>237</v>
      </c>
      <c r="C269" s="8">
        <f t="shared" si="57"/>
        <v>122</v>
      </c>
      <c r="D269" s="7">
        <f t="shared" si="58"/>
        <v>-0.15</v>
      </c>
      <c r="F269">
        <f t="shared" si="59"/>
        <v>0.15</v>
      </c>
      <c r="G269">
        <f t="shared" si="60"/>
        <v>0.12</v>
      </c>
      <c r="H269">
        <f t="shared" si="61"/>
        <v>0.09</v>
      </c>
      <c r="I269">
        <f t="shared" si="62"/>
        <v>0.06</v>
      </c>
      <c r="J269">
        <f t="shared" si="63"/>
        <v>0.03</v>
      </c>
      <c r="K269">
        <f t="shared" si="64"/>
        <v>0</v>
      </c>
      <c r="L269">
        <f t="shared" si="65"/>
        <v>-0.03</v>
      </c>
      <c r="M269">
        <f t="shared" si="66"/>
        <v>-0.06</v>
      </c>
      <c r="N269">
        <f t="shared" si="67"/>
        <v>-0.09</v>
      </c>
      <c r="O269">
        <f t="shared" si="68"/>
        <v>-0.12</v>
      </c>
      <c r="P269">
        <f t="shared" si="69"/>
        <v>-0.15</v>
      </c>
    </row>
    <row r="270" spans="1:16" x14ac:dyDescent="0.3">
      <c r="A270" s="6">
        <v>46260</v>
      </c>
      <c r="B270" s="8">
        <f t="shared" si="56"/>
        <v>238</v>
      </c>
      <c r="C270" s="8">
        <f t="shared" si="57"/>
        <v>121</v>
      </c>
      <c r="D270" s="7">
        <f t="shared" si="58"/>
        <v>-0.15</v>
      </c>
      <c r="F270">
        <f t="shared" si="59"/>
        <v>0.15</v>
      </c>
      <c r="G270">
        <f t="shared" si="60"/>
        <v>0.12</v>
      </c>
      <c r="H270">
        <f t="shared" si="61"/>
        <v>0.09</v>
      </c>
      <c r="I270">
        <f t="shared" si="62"/>
        <v>0.06</v>
      </c>
      <c r="J270">
        <f t="shared" si="63"/>
        <v>0.03</v>
      </c>
      <c r="K270">
        <f t="shared" si="64"/>
        <v>0</v>
      </c>
      <c r="L270">
        <f t="shared" si="65"/>
        <v>-0.03</v>
      </c>
      <c r="M270">
        <f t="shared" si="66"/>
        <v>-0.06</v>
      </c>
      <c r="N270">
        <f t="shared" si="67"/>
        <v>-0.09</v>
      </c>
      <c r="O270">
        <f t="shared" si="68"/>
        <v>-0.12</v>
      </c>
      <c r="P270">
        <f t="shared" si="69"/>
        <v>-0.15</v>
      </c>
    </row>
    <row r="271" spans="1:16" x14ac:dyDescent="0.3">
      <c r="A271" s="6">
        <v>46261</v>
      </c>
      <c r="B271" s="8">
        <f t="shared" si="56"/>
        <v>239</v>
      </c>
      <c r="C271" s="8">
        <f t="shared" si="57"/>
        <v>120</v>
      </c>
      <c r="D271" s="7">
        <f t="shared" si="58"/>
        <v>-0.15</v>
      </c>
      <c r="F271">
        <f t="shared" si="59"/>
        <v>0.15</v>
      </c>
      <c r="G271">
        <f t="shared" si="60"/>
        <v>0.12</v>
      </c>
      <c r="H271">
        <f t="shared" si="61"/>
        <v>0.09</v>
      </c>
      <c r="I271">
        <f t="shared" si="62"/>
        <v>0.06</v>
      </c>
      <c r="J271">
        <f t="shared" si="63"/>
        <v>0.03</v>
      </c>
      <c r="K271">
        <f t="shared" si="64"/>
        <v>0</v>
      </c>
      <c r="L271">
        <f t="shared" si="65"/>
        <v>-0.03</v>
      </c>
      <c r="M271">
        <f t="shared" si="66"/>
        <v>-0.06</v>
      </c>
      <c r="N271">
        <f t="shared" si="67"/>
        <v>-0.09</v>
      </c>
      <c r="O271">
        <f t="shared" si="68"/>
        <v>-0.12</v>
      </c>
      <c r="P271">
        <f t="shared" si="69"/>
        <v>-0.15</v>
      </c>
    </row>
    <row r="272" spans="1:16" x14ac:dyDescent="0.3">
      <c r="A272" s="6">
        <v>46262</v>
      </c>
      <c r="B272" s="8">
        <f t="shared" si="56"/>
        <v>240</v>
      </c>
      <c r="C272" s="8">
        <f t="shared" si="57"/>
        <v>119</v>
      </c>
      <c r="D272" s="7">
        <f t="shared" si="58"/>
        <v>-0.15</v>
      </c>
      <c r="F272">
        <f t="shared" si="59"/>
        <v>0.15</v>
      </c>
      <c r="G272">
        <f t="shared" si="60"/>
        <v>0.12</v>
      </c>
      <c r="H272">
        <f t="shared" si="61"/>
        <v>0.09</v>
      </c>
      <c r="I272">
        <f t="shared" si="62"/>
        <v>0.06</v>
      </c>
      <c r="J272">
        <f t="shared" si="63"/>
        <v>0.03</v>
      </c>
      <c r="K272">
        <f t="shared" si="64"/>
        <v>0</v>
      </c>
      <c r="L272">
        <f t="shared" si="65"/>
        <v>-0.03</v>
      </c>
      <c r="M272">
        <f t="shared" si="66"/>
        <v>-0.06</v>
      </c>
      <c r="N272">
        <f t="shared" si="67"/>
        <v>-0.09</v>
      </c>
      <c r="O272">
        <f t="shared" si="68"/>
        <v>-0.12</v>
      </c>
      <c r="P272">
        <f t="shared" si="69"/>
        <v>-0.15</v>
      </c>
    </row>
    <row r="273" spans="1:16" x14ac:dyDescent="0.3">
      <c r="A273" s="6">
        <v>46263</v>
      </c>
      <c r="B273" s="8">
        <f t="shared" si="56"/>
        <v>241</v>
      </c>
      <c r="C273" s="8">
        <f t="shared" si="57"/>
        <v>118</v>
      </c>
      <c r="D273" s="7">
        <f t="shared" si="58"/>
        <v>-0.15</v>
      </c>
      <c r="F273">
        <f t="shared" si="59"/>
        <v>0.15</v>
      </c>
      <c r="G273">
        <f t="shared" si="60"/>
        <v>0.12</v>
      </c>
      <c r="H273">
        <f t="shared" si="61"/>
        <v>0.09</v>
      </c>
      <c r="I273">
        <f t="shared" si="62"/>
        <v>0.06</v>
      </c>
      <c r="J273">
        <f t="shared" si="63"/>
        <v>0.03</v>
      </c>
      <c r="K273">
        <f t="shared" si="64"/>
        <v>0</v>
      </c>
      <c r="L273">
        <f t="shared" si="65"/>
        <v>-0.03</v>
      </c>
      <c r="M273">
        <f t="shared" si="66"/>
        <v>-0.06</v>
      </c>
      <c r="N273">
        <f t="shared" si="67"/>
        <v>-0.09</v>
      </c>
      <c r="O273">
        <f t="shared" si="68"/>
        <v>-0.12</v>
      </c>
      <c r="P273">
        <f t="shared" si="69"/>
        <v>-0.15</v>
      </c>
    </row>
    <row r="274" spans="1:16" x14ac:dyDescent="0.3">
      <c r="A274" s="6">
        <v>46264</v>
      </c>
      <c r="B274" s="8">
        <f t="shared" si="56"/>
        <v>242</v>
      </c>
      <c r="C274" s="8">
        <f t="shared" si="57"/>
        <v>117</v>
      </c>
      <c r="D274" s="7">
        <f t="shared" si="58"/>
        <v>-0.15</v>
      </c>
      <c r="F274">
        <f t="shared" si="59"/>
        <v>0.15</v>
      </c>
      <c r="G274">
        <f t="shared" si="60"/>
        <v>0.12</v>
      </c>
      <c r="H274">
        <f t="shared" si="61"/>
        <v>0.09</v>
      </c>
      <c r="I274">
        <f t="shared" si="62"/>
        <v>0.06</v>
      </c>
      <c r="J274">
        <f t="shared" si="63"/>
        <v>0.03</v>
      </c>
      <c r="K274">
        <f t="shared" si="64"/>
        <v>0</v>
      </c>
      <c r="L274">
        <f t="shared" si="65"/>
        <v>-0.03</v>
      </c>
      <c r="M274">
        <f t="shared" si="66"/>
        <v>-0.06</v>
      </c>
      <c r="N274">
        <f t="shared" si="67"/>
        <v>-0.09</v>
      </c>
      <c r="O274">
        <f t="shared" si="68"/>
        <v>-0.12</v>
      </c>
      <c r="P274">
        <f t="shared" si="69"/>
        <v>-0.15</v>
      </c>
    </row>
    <row r="275" spans="1:16" x14ac:dyDescent="0.3">
      <c r="A275" s="6">
        <v>46265</v>
      </c>
      <c r="B275" s="8">
        <f t="shared" si="56"/>
        <v>243</v>
      </c>
      <c r="C275" s="8">
        <f t="shared" si="57"/>
        <v>116</v>
      </c>
      <c r="D275" s="7">
        <f t="shared" si="58"/>
        <v>-0.15</v>
      </c>
      <c r="F275">
        <f t="shared" si="59"/>
        <v>0.15</v>
      </c>
      <c r="G275">
        <f t="shared" si="60"/>
        <v>0.12</v>
      </c>
      <c r="H275">
        <f t="shared" si="61"/>
        <v>0.09</v>
      </c>
      <c r="I275">
        <f t="shared" si="62"/>
        <v>0.06</v>
      </c>
      <c r="J275">
        <f t="shared" si="63"/>
        <v>0.03</v>
      </c>
      <c r="K275">
        <f t="shared" si="64"/>
        <v>0</v>
      </c>
      <c r="L275">
        <f t="shared" si="65"/>
        <v>-0.03</v>
      </c>
      <c r="M275">
        <f t="shared" si="66"/>
        <v>-0.06</v>
      </c>
      <c r="N275">
        <f t="shared" si="67"/>
        <v>-0.09</v>
      </c>
      <c r="O275">
        <f t="shared" si="68"/>
        <v>-0.12</v>
      </c>
      <c r="P275">
        <f t="shared" si="69"/>
        <v>-0.15</v>
      </c>
    </row>
    <row r="276" spans="1:16" x14ac:dyDescent="0.3">
      <c r="A276" s="6">
        <v>46266</v>
      </c>
      <c r="B276" s="8">
        <f t="shared" si="56"/>
        <v>244</v>
      </c>
      <c r="C276" s="8">
        <f t="shared" si="57"/>
        <v>115</v>
      </c>
      <c r="D276" s="7">
        <f t="shared" si="58"/>
        <v>-0.15</v>
      </c>
      <c r="F276">
        <f t="shared" si="59"/>
        <v>0.15</v>
      </c>
      <c r="G276">
        <f t="shared" si="60"/>
        <v>0.12</v>
      </c>
      <c r="H276">
        <f t="shared" si="61"/>
        <v>0.09</v>
      </c>
      <c r="I276">
        <f t="shared" si="62"/>
        <v>0.06</v>
      </c>
      <c r="J276">
        <f t="shared" si="63"/>
        <v>0.03</v>
      </c>
      <c r="K276">
        <f t="shared" si="64"/>
        <v>0</v>
      </c>
      <c r="L276">
        <f t="shared" si="65"/>
        <v>-0.03</v>
      </c>
      <c r="M276">
        <f t="shared" si="66"/>
        <v>-0.06</v>
      </c>
      <c r="N276">
        <f t="shared" si="67"/>
        <v>-0.09</v>
      </c>
      <c r="O276">
        <f t="shared" si="68"/>
        <v>-0.12</v>
      </c>
      <c r="P276">
        <f t="shared" si="69"/>
        <v>-0.15</v>
      </c>
    </row>
    <row r="277" spans="1:16" x14ac:dyDescent="0.3">
      <c r="A277" s="6">
        <v>46267</v>
      </c>
      <c r="B277" s="8">
        <f t="shared" si="56"/>
        <v>245</v>
      </c>
      <c r="C277" s="8">
        <f t="shared" si="57"/>
        <v>114</v>
      </c>
      <c r="D277" s="7">
        <f t="shared" si="58"/>
        <v>-0.15</v>
      </c>
      <c r="F277">
        <f t="shared" si="59"/>
        <v>0.15</v>
      </c>
      <c r="G277">
        <f t="shared" si="60"/>
        <v>0.12</v>
      </c>
      <c r="H277">
        <f t="shared" si="61"/>
        <v>0.09</v>
      </c>
      <c r="I277">
        <f t="shared" si="62"/>
        <v>0.06</v>
      </c>
      <c r="J277">
        <f t="shared" si="63"/>
        <v>0.03</v>
      </c>
      <c r="K277">
        <f t="shared" si="64"/>
        <v>0</v>
      </c>
      <c r="L277">
        <f t="shared" si="65"/>
        <v>-0.03</v>
      </c>
      <c r="M277">
        <f t="shared" si="66"/>
        <v>-0.06</v>
      </c>
      <c r="N277">
        <f t="shared" si="67"/>
        <v>-0.09</v>
      </c>
      <c r="O277">
        <f t="shared" si="68"/>
        <v>-0.12</v>
      </c>
      <c r="P277">
        <f t="shared" si="69"/>
        <v>-0.15</v>
      </c>
    </row>
    <row r="278" spans="1:16" x14ac:dyDescent="0.3">
      <c r="A278" s="6">
        <v>46268</v>
      </c>
      <c r="B278" s="8">
        <f t="shared" si="56"/>
        <v>246</v>
      </c>
      <c r="C278" s="8">
        <f t="shared" si="57"/>
        <v>113</v>
      </c>
      <c r="D278" s="7">
        <f t="shared" si="58"/>
        <v>-0.15</v>
      </c>
      <c r="F278">
        <f t="shared" si="59"/>
        <v>0.15</v>
      </c>
      <c r="G278">
        <f t="shared" si="60"/>
        <v>0.12</v>
      </c>
      <c r="H278">
        <f t="shared" si="61"/>
        <v>0.09</v>
      </c>
      <c r="I278">
        <f t="shared" si="62"/>
        <v>0.06</v>
      </c>
      <c r="J278">
        <f t="shared" si="63"/>
        <v>0.03</v>
      </c>
      <c r="K278">
        <f t="shared" si="64"/>
        <v>0</v>
      </c>
      <c r="L278">
        <f t="shared" si="65"/>
        <v>-0.03</v>
      </c>
      <c r="M278">
        <f t="shared" si="66"/>
        <v>-0.06</v>
      </c>
      <c r="N278">
        <f t="shared" si="67"/>
        <v>-0.09</v>
      </c>
      <c r="O278">
        <f t="shared" si="68"/>
        <v>-0.12</v>
      </c>
      <c r="P278">
        <f t="shared" si="69"/>
        <v>-0.15</v>
      </c>
    </row>
    <row r="279" spans="1:16" x14ac:dyDescent="0.3">
      <c r="A279" s="6">
        <v>46269</v>
      </c>
      <c r="B279" s="8">
        <f t="shared" si="56"/>
        <v>247</v>
      </c>
      <c r="C279" s="8">
        <f t="shared" si="57"/>
        <v>112</v>
      </c>
      <c r="D279" s="7">
        <f t="shared" si="58"/>
        <v>-0.15</v>
      </c>
      <c r="F279">
        <f t="shared" si="59"/>
        <v>0.15</v>
      </c>
      <c r="G279">
        <f t="shared" si="60"/>
        <v>0.12</v>
      </c>
      <c r="H279">
        <f t="shared" si="61"/>
        <v>0.09</v>
      </c>
      <c r="I279">
        <f t="shared" si="62"/>
        <v>0.06</v>
      </c>
      <c r="J279">
        <f t="shared" si="63"/>
        <v>0.03</v>
      </c>
      <c r="K279">
        <f t="shared" si="64"/>
        <v>0</v>
      </c>
      <c r="L279">
        <f t="shared" si="65"/>
        <v>-0.03</v>
      </c>
      <c r="M279">
        <f t="shared" si="66"/>
        <v>-0.06</v>
      </c>
      <c r="N279">
        <f t="shared" si="67"/>
        <v>-0.09</v>
      </c>
      <c r="O279">
        <f t="shared" si="68"/>
        <v>-0.12</v>
      </c>
      <c r="P279">
        <f t="shared" si="69"/>
        <v>-0.15</v>
      </c>
    </row>
    <row r="280" spans="1:16" x14ac:dyDescent="0.3">
      <c r="A280" s="6">
        <v>46270</v>
      </c>
      <c r="B280" s="8">
        <f t="shared" si="56"/>
        <v>248</v>
      </c>
      <c r="C280" s="8">
        <f t="shared" si="57"/>
        <v>111</v>
      </c>
      <c r="D280" s="7">
        <f t="shared" si="58"/>
        <v>-0.15</v>
      </c>
      <c r="F280">
        <f t="shared" si="59"/>
        <v>0.15</v>
      </c>
      <c r="G280">
        <f t="shared" si="60"/>
        <v>0.12</v>
      </c>
      <c r="H280">
        <f t="shared" si="61"/>
        <v>0.09</v>
      </c>
      <c r="I280">
        <f t="shared" si="62"/>
        <v>0.06</v>
      </c>
      <c r="J280">
        <f t="shared" si="63"/>
        <v>0.03</v>
      </c>
      <c r="K280">
        <f t="shared" si="64"/>
        <v>0</v>
      </c>
      <c r="L280">
        <f t="shared" si="65"/>
        <v>-0.03</v>
      </c>
      <c r="M280">
        <f t="shared" si="66"/>
        <v>-0.06</v>
      </c>
      <c r="N280">
        <f t="shared" si="67"/>
        <v>-0.09</v>
      </c>
      <c r="O280">
        <f t="shared" si="68"/>
        <v>-0.12</v>
      </c>
      <c r="P280">
        <f t="shared" si="69"/>
        <v>-0.15</v>
      </c>
    </row>
    <row r="281" spans="1:16" x14ac:dyDescent="0.3">
      <c r="A281" s="6">
        <v>46271</v>
      </c>
      <c r="B281" s="8">
        <f t="shared" si="56"/>
        <v>249</v>
      </c>
      <c r="C281" s="8">
        <f t="shared" si="57"/>
        <v>110</v>
      </c>
      <c r="D281" s="7">
        <f t="shared" si="58"/>
        <v>-0.15</v>
      </c>
      <c r="F281">
        <f t="shared" si="59"/>
        <v>0.15</v>
      </c>
      <c r="G281">
        <f t="shared" si="60"/>
        <v>0.12</v>
      </c>
      <c r="H281">
        <f t="shared" si="61"/>
        <v>0.09</v>
      </c>
      <c r="I281">
        <f t="shared" si="62"/>
        <v>0.06</v>
      </c>
      <c r="J281">
        <f t="shared" si="63"/>
        <v>0.03</v>
      </c>
      <c r="K281">
        <f t="shared" si="64"/>
        <v>0</v>
      </c>
      <c r="L281">
        <f t="shared" si="65"/>
        <v>-0.03</v>
      </c>
      <c r="M281">
        <f t="shared" si="66"/>
        <v>-0.06</v>
      </c>
      <c r="N281">
        <f t="shared" si="67"/>
        <v>-0.09</v>
      </c>
      <c r="O281">
        <f t="shared" si="68"/>
        <v>-0.12</v>
      </c>
      <c r="P281">
        <f t="shared" si="69"/>
        <v>-0.15</v>
      </c>
    </row>
    <row r="282" spans="1:16" x14ac:dyDescent="0.3">
      <c r="A282" s="6">
        <v>46272</v>
      </c>
      <c r="B282" s="8">
        <f t="shared" si="56"/>
        <v>250</v>
      </c>
      <c r="C282" s="8">
        <f t="shared" si="57"/>
        <v>109</v>
      </c>
      <c r="D282" s="7">
        <f t="shared" si="58"/>
        <v>-0.15</v>
      </c>
      <c r="F282">
        <f t="shared" si="59"/>
        <v>0.15</v>
      </c>
      <c r="G282">
        <f t="shared" si="60"/>
        <v>0.12</v>
      </c>
      <c r="H282">
        <f t="shared" si="61"/>
        <v>0.09</v>
      </c>
      <c r="I282">
        <f t="shared" si="62"/>
        <v>0.06</v>
      </c>
      <c r="J282">
        <f t="shared" si="63"/>
        <v>0.03</v>
      </c>
      <c r="K282">
        <f t="shared" si="64"/>
        <v>0</v>
      </c>
      <c r="L282">
        <f t="shared" si="65"/>
        <v>-0.03</v>
      </c>
      <c r="M282">
        <f t="shared" si="66"/>
        <v>-0.06</v>
      </c>
      <c r="N282">
        <f t="shared" si="67"/>
        <v>-0.09</v>
      </c>
      <c r="O282">
        <f t="shared" si="68"/>
        <v>-0.12</v>
      </c>
      <c r="P282">
        <f t="shared" si="69"/>
        <v>-0.15</v>
      </c>
    </row>
    <row r="283" spans="1:16" x14ac:dyDescent="0.3">
      <c r="A283" s="6">
        <v>46273</v>
      </c>
      <c r="B283" s="8">
        <f t="shared" si="56"/>
        <v>251</v>
      </c>
      <c r="C283" s="8">
        <f t="shared" si="57"/>
        <v>108</v>
      </c>
      <c r="D283" s="7">
        <f t="shared" si="58"/>
        <v>-0.15</v>
      </c>
      <c r="F283">
        <f t="shared" si="59"/>
        <v>0.15</v>
      </c>
      <c r="G283">
        <f t="shared" si="60"/>
        <v>0.12</v>
      </c>
      <c r="H283">
        <f t="shared" si="61"/>
        <v>0.09</v>
      </c>
      <c r="I283">
        <f t="shared" si="62"/>
        <v>0.06</v>
      </c>
      <c r="J283">
        <f t="shared" si="63"/>
        <v>0.03</v>
      </c>
      <c r="K283">
        <f t="shared" si="64"/>
        <v>0</v>
      </c>
      <c r="L283">
        <f t="shared" si="65"/>
        <v>-0.03</v>
      </c>
      <c r="M283">
        <f t="shared" si="66"/>
        <v>-0.06</v>
      </c>
      <c r="N283">
        <f t="shared" si="67"/>
        <v>-0.09</v>
      </c>
      <c r="O283">
        <f t="shared" si="68"/>
        <v>-0.12</v>
      </c>
      <c r="P283">
        <f t="shared" si="69"/>
        <v>-0.15</v>
      </c>
    </row>
    <row r="284" spans="1:16" x14ac:dyDescent="0.3">
      <c r="A284" s="6">
        <v>46274</v>
      </c>
      <c r="B284" s="8">
        <f t="shared" si="56"/>
        <v>252</v>
      </c>
      <c r="C284" s="8">
        <f t="shared" si="57"/>
        <v>107</v>
      </c>
      <c r="D284" s="7">
        <f t="shared" si="58"/>
        <v>-0.15</v>
      </c>
      <c r="F284">
        <f t="shared" si="59"/>
        <v>0.15</v>
      </c>
      <c r="G284">
        <f t="shared" si="60"/>
        <v>0.12</v>
      </c>
      <c r="H284">
        <f t="shared" si="61"/>
        <v>0.09</v>
      </c>
      <c r="I284">
        <f t="shared" si="62"/>
        <v>0.06</v>
      </c>
      <c r="J284">
        <f t="shared" si="63"/>
        <v>0.03</v>
      </c>
      <c r="K284">
        <f t="shared" si="64"/>
        <v>0</v>
      </c>
      <c r="L284">
        <f t="shared" si="65"/>
        <v>-0.03</v>
      </c>
      <c r="M284">
        <f t="shared" si="66"/>
        <v>-0.06</v>
      </c>
      <c r="N284">
        <f t="shared" si="67"/>
        <v>-0.09</v>
      </c>
      <c r="O284">
        <f t="shared" si="68"/>
        <v>-0.12</v>
      </c>
      <c r="P284">
        <f t="shared" si="69"/>
        <v>-0.15</v>
      </c>
    </row>
    <row r="285" spans="1:16" x14ac:dyDescent="0.3">
      <c r="A285" s="6">
        <v>46275</v>
      </c>
      <c r="B285" s="8">
        <f t="shared" si="56"/>
        <v>253</v>
      </c>
      <c r="C285" s="8">
        <f t="shared" si="57"/>
        <v>106</v>
      </c>
      <c r="D285" s="7">
        <f t="shared" si="58"/>
        <v>-0.15</v>
      </c>
      <c r="F285">
        <f t="shared" si="59"/>
        <v>0.15</v>
      </c>
      <c r="G285">
        <f t="shared" si="60"/>
        <v>0.12</v>
      </c>
      <c r="H285">
        <f t="shared" si="61"/>
        <v>0.09</v>
      </c>
      <c r="I285">
        <f t="shared" si="62"/>
        <v>0.06</v>
      </c>
      <c r="J285">
        <f t="shared" si="63"/>
        <v>0.03</v>
      </c>
      <c r="K285">
        <f t="shared" si="64"/>
        <v>0</v>
      </c>
      <c r="L285">
        <f t="shared" si="65"/>
        <v>-0.03</v>
      </c>
      <c r="M285">
        <f t="shared" si="66"/>
        <v>-0.06</v>
      </c>
      <c r="N285">
        <f t="shared" si="67"/>
        <v>-0.09</v>
      </c>
      <c r="O285">
        <f t="shared" si="68"/>
        <v>-0.12</v>
      </c>
      <c r="P285">
        <f t="shared" si="69"/>
        <v>-0.15</v>
      </c>
    </row>
    <row r="286" spans="1:16" x14ac:dyDescent="0.3">
      <c r="A286" s="6">
        <v>46276</v>
      </c>
      <c r="B286" s="8">
        <f t="shared" si="56"/>
        <v>254</v>
      </c>
      <c r="C286" s="8">
        <f t="shared" si="57"/>
        <v>105</v>
      </c>
      <c r="D286" s="7">
        <f t="shared" si="58"/>
        <v>-0.15</v>
      </c>
      <c r="F286">
        <f t="shared" si="59"/>
        <v>0.15</v>
      </c>
      <c r="G286">
        <f t="shared" si="60"/>
        <v>0.12</v>
      </c>
      <c r="H286">
        <f t="shared" si="61"/>
        <v>0.09</v>
      </c>
      <c r="I286">
        <f t="shared" si="62"/>
        <v>0.06</v>
      </c>
      <c r="J286">
        <f t="shared" si="63"/>
        <v>0.03</v>
      </c>
      <c r="K286">
        <f t="shared" si="64"/>
        <v>0</v>
      </c>
      <c r="L286">
        <f t="shared" si="65"/>
        <v>-0.03</v>
      </c>
      <c r="M286">
        <f t="shared" si="66"/>
        <v>-0.06</v>
      </c>
      <c r="N286">
        <f t="shared" si="67"/>
        <v>-0.09</v>
      </c>
      <c r="O286">
        <f t="shared" si="68"/>
        <v>-0.12</v>
      </c>
      <c r="P286">
        <f t="shared" si="69"/>
        <v>-0.15</v>
      </c>
    </row>
    <row r="287" spans="1:16" x14ac:dyDescent="0.3">
      <c r="A287" s="6">
        <v>46277</v>
      </c>
      <c r="B287" s="8">
        <f t="shared" si="56"/>
        <v>255</v>
      </c>
      <c r="C287" s="8">
        <f t="shared" si="57"/>
        <v>104</v>
      </c>
      <c r="D287" s="7">
        <f t="shared" si="58"/>
        <v>-0.15</v>
      </c>
      <c r="F287">
        <f t="shared" si="59"/>
        <v>0.15</v>
      </c>
      <c r="G287">
        <f t="shared" si="60"/>
        <v>0.12</v>
      </c>
      <c r="H287">
        <f t="shared" si="61"/>
        <v>0.09</v>
      </c>
      <c r="I287">
        <f t="shared" si="62"/>
        <v>0.06</v>
      </c>
      <c r="J287">
        <f t="shared" si="63"/>
        <v>0.03</v>
      </c>
      <c r="K287">
        <f t="shared" si="64"/>
        <v>0</v>
      </c>
      <c r="L287">
        <f t="shared" si="65"/>
        <v>-0.03</v>
      </c>
      <c r="M287">
        <f t="shared" si="66"/>
        <v>-0.06</v>
      </c>
      <c r="N287">
        <f t="shared" si="67"/>
        <v>-0.09</v>
      </c>
      <c r="O287">
        <f t="shared" si="68"/>
        <v>-0.12</v>
      </c>
      <c r="P287">
        <f t="shared" si="69"/>
        <v>-0.15</v>
      </c>
    </row>
    <row r="288" spans="1:16" x14ac:dyDescent="0.3">
      <c r="A288" s="6">
        <v>46278</v>
      </c>
      <c r="B288" s="8">
        <f t="shared" si="56"/>
        <v>256</v>
      </c>
      <c r="C288" s="8">
        <f t="shared" si="57"/>
        <v>103</v>
      </c>
      <c r="D288" s="7">
        <f t="shared" si="58"/>
        <v>-0.15</v>
      </c>
      <c r="F288">
        <f t="shared" si="59"/>
        <v>0.15</v>
      </c>
      <c r="G288">
        <f t="shared" si="60"/>
        <v>0.12</v>
      </c>
      <c r="H288">
        <f t="shared" si="61"/>
        <v>0.09</v>
      </c>
      <c r="I288">
        <f t="shared" si="62"/>
        <v>0.06</v>
      </c>
      <c r="J288">
        <f t="shared" si="63"/>
        <v>0.03</v>
      </c>
      <c r="K288">
        <f t="shared" si="64"/>
        <v>0</v>
      </c>
      <c r="L288">
        <f t="shared" si="65"/>
        <v>-0.03</v>
      </c>
      <c r="M288">
        <f t="shared" si="66"/>
        <v>-0.06</v>
      </c>
      <c r="N288">
        <f t="shared" si="67"/>
        <v>-0.09</v>
      </c>
      <c r="O288">
        <f t="shared" si="68"/>
        <v>-0.12</v>
      </c>
      <c r="P288">
        <f t="shared" si="69"/>
        <v>-0.15</v>
      </c>
    </row>
    <row r="289" spans="1:16" x14ac:dyDescent="0.3">
      <c r="A289" s="6">
        <v>46279</v>
      </c>
      <c r="B289" s="8">
        <f t="shared" si="56"/>
        <v>257</v>
      </c>
      <c r="C289" s="8">
        <f t="shared" si="57"/>
        <v>102</v>
      </c>
      <c r="D289" s="7">
        <f t="shared" si="58"/>
        <v>-0.15</v>
      </c>
      <c r="F289">
        <f t="shared" si="59"/>
        <v>0.15</v>
      </c>
      <c r="G289">
        <f t="shared" si="60"/>
        <v>0.12</v>
      </c>
      <c r="H289">
        <f t="shared" si="61"/>
        <v>0.09</v>
      </c>
      <c r="I289">
        <f t="shared" si="62"/>
        <v>0.06</v>
      </c>
      <c r="J289">
        <f t="shared" si="63"/>
        <v>0.03</v>
      </c>
      <c r="K289">
        <f t="shared" si="64"/>
        <v>0</v>
      </c>
      <c r="L289">
        <f t="shared" si="65"/>
        <v>-0.03</v>
      </c>
      <c r="M289">
        <f t="shared" si="66"/>
        <v>-0.06</v>
      </c>
      <c r="N289">
        <f t="shared" si="67"/>
        <v>-0.09</v>
      </c>
      <c r="O289">
        <f t="shared" si="68"/>
        <v>-0.12</v>
      </c>
      <c r="P289">
        <f t="shared" si="69"/>
        <v>-0.15</v>
      </c>
    </row>
    <row r="290" spans="1:16" x14ac:dyDescent="0.3">
      <c r="A290" s="6">
        <v>46280</v>
      </c>
      <c r="B290" s="8">
        <f t="shared" si="56"/>
        <v>258</v>
      </c>
      <c r="C290" s="8">
        <f t="shared" si="57"/>
        <v>101</v>
      </c>
      <c r="D290" s="7">
        <f t="shared" si="58"/>
        <v>-0.15</v>
      </c>
      <c r="F290">
        <f t="shared" si="59"/>
        <v>0.15</v>
      </c>
      <c r="G290">
        <f t="shared" si="60"/>
        <v>0.12</v>
      </c>
      <c r="H290">
        <f t="shared" si="61"/>
        <v>0.09</v>
      </c>
      <c r="I290">
        <f t="shared" si="62"/>
        <v>0.06</v>
      </c>
      <c r="J290">
        <f t="shared" si="63"/>
        <v>0.03</v>
      </c>
      <c r="K290">
        <f t="shared" si="64"/>
        <v>0</v>
      </c>
      <c r="L290">
        <f t="shared" si="65"/>
        <v>-0.03</v>
      </c>
      <c r="M290">
        <f t="shared" si="66"/>
        <v>-0.06</v>
      </c>
      <c r="N290">
        <f t="shared" si="67"/>
        <v>-0.09</v>
      </c>
      <c r="O290">
        <f t="shared" si="68"/>
        <v>-0.12</v>
      </c>
      <c r="P290">
        <f t="shared" si="69"/>
        <v>-0.15</v>
      </c>
    </row>
    <row r="291" spans="1:16" x14ac:dyDescent="0.3">
      <c r="A291" s="6">
        <v>46281</v>
      </c>
      <c r="B291" s="8">
        <f t="shared" si="56"/>
        <v>259</v>
      </c>
      <c r="C291" s="8">
        <f t="shared" si="57"/>
        <v>100</v>
      </c>
      <c r="D291" s="7">
        <f t="shared" si="58"/>
        <v>-0.15</v>
      </c>
      <c r="F291">
        <f t="shared" si="59"/>
        <v>0.15</v>
      </c>
      <c r="G291">
        <f t="shared" si="60"/>
        <v>0.12</v>
      </c>
      <c r="H291">
        <f t="shared" si="61"/>
        <v>0.09</v>
      </c>
      <c r="I291">
        <f t="shared" si="62"/>
        <v>0.06</v>
      </c>
      <c r="J291">
        <f t="shared" si="63"/>
        <v>0.03</v>
      </c>
      <c r="K291">
        <f t="shared" si="64"/>
        <v>0</v>
      </c>
      <c r="L291">
        <f t="shared" si="65"/>
        <v>-0.03</v>
      </c>
      <c r="M291">
        <f t="shared" si="66"/>
        <v>-0.06</v>
      </c>
      <c r="N291">
        <f t="shared" si="67"/>
        <v>-0.09</v>
      </c>
      <c r="O291">
        <f t="shared" si="68"/>
        <v>-0.12</v>
      </c>
      <c r="P291">
        <f t="shared" si="69"/>
        <v>-0.15</v>
      </c>
    </row>
    <row r="292" spans="1:16" x14ac:dyDescent="0.3">
      <c r="A292" s="6">
        <v>46282</v>
      </c>
      <c r="B292" s="8">
        <f t="shared" si="56"/>
        <v>260</v>
      </c>
      <c r="C292" s="8">
        <f t="shared" si="57"/>
        <v>99</v>
      </c>
      <c r="D292" s="7">
        <f t="shared" si="58"/>
        <v>-0.15</v>
      </c>
      <c r="F292">
        <f t="shared" si="59"/>
        <v>0.15</v>
      </c>
      <c r="G292">
        <f t="shared" si="60"/>
        <v>0.12</v>
      </c>
      <c r="H292">
        <f t="shared" si="61"/>
        <v>0.09</v>
      </c>
      <c r="I292">
        <f t="shared" si="62"/>
        <v>0.06</v>
      </c>
      <c r="J292">
        <f t="shared" si="63"/>
        <v>0.03</v>
      </c>
      <c r="K292">
        <f t="shared" si="64"/>
        <v>0</v>
      </c>
      <c r="L292">
        <f t="shared" si="65"/>
        <v>-0.03</v>
      </c>
      <c r="M292">
        <f t="shared" si="66"/>
        <v>-0.06</v>
      </c>
      <c r="N292">
        <f t="shared" si="67"/>
        <v>-0.09</v>
      </c>
      <c r="O292">
        <f t="shared" si="68"/>
        <v>-0.12</v>
      </c>
      <c r="P292">
        <f t="shared" si="69"/>
        <v>-0.15</v>
      </c>
    </row>
    <row r="293" spans="1:16" x14ac:dyDescent="0.3">
      <c r="A293" s="6">
        <v>46283</v>
      </c>
      <c r="B293" s="8">
        <f t="shared" si="56"/>
        <v>261</v>
      </c>
      <c r="C293" s="8">
        <f t="shared" si="57"/>
        <v>98</v>
      </c>
      <c r="D293" s="7">
        <f t="shared" si="58"/>
        <v>-0.15</v>
      </c>
      <c r="F293">
        <f t="shared" si="59"/>
        <v>0.15</v>
      </c>
      <c r="G293">
        <f t="shared" si="60"/>
        <v>0.12</v>
      </c>
      <c r="H293">
        <f t="shared" si="61"/>
        <v>0.09</v>
      </c>
      <c r="I293">
        <f t="shared" si="62"/>
        <v>0.06</v>
      </c>
      <c r="J293">
        <f t="shared" si="63"/>
        <v>0.03</v>
      </c>
      <c r="K293">
        <f t="shared" si="64"/>
        <v>0</v>
      </c>
      <c r="L293">
        <f t="shared" si="65"/>
        <v>-0.03</v>
      </c>
      <c r="M293">
        <f t="shared" si="66"/>
        <v>-0.06</v>
      </c>
      <c r="N293">
        <f t="shared" si="67"/>
        <v>-0.09</v>
      </c>
      <c r="O293">
        <f t="shared" si="68"/>
        <v>-0.12</v>
      </c>
      <c r="P293">
        <f t="shared" si="69"/>
        <v>-0.15</v>
      </c>
    </row>
    <row r="294" spans="1:16" x14ac:dyDescent="0.3">
      <c r="A294" s="6">
        <v>46284</v>
      </c>
      <c r="B294" s="8">
        <f t="shared" si="56"/>
        <v>262</v>
      </c>
      <c r="C294" s="8">
        <f t="shared" si="57"/>
        <v>97</v>
      </c>
      <c r="D294" s="7">
        <f t="shared" si="58"/>
        <v>-0.15</v>
      </c>
      <c r="F294">
        <f t="shared" si="59"/>
        <v>0.15</v>
      </c>
      <c r="G294">
        <f t="shared" si="60"/>
        <v>0.12</v>
      </c>
      <c r="H294">
        <f t="shared" si="61"/>
        <v>0.09</v>
      </c>
      <c r="I294">
        <f t="shared" si="62"/>
        <v>0.06</v>
      </c>
      <c r="J294">
        <f t="shared" si="63"/>
        <v>0.03</v>
      </c>
      <c r="K294">
        <f t="shared" si="64"/>
        <v>0</v>
      </c>
      <c r="L294">
        <f t="shared" si="65"/>
        <v>-0.03</v>
      </c>
      <c r="M294">
        <f t="shared" si="66"/>
        <v>-0.06</v>
      </c>
      <c r="N294">
        <f t="shared" si="67"/>
        <v>-0.09</v>
      </c>
      <c r="O294">
        <f t="shared" si="68"/>
        <v>-0.12</v>
      </c>
      <c r="P294">
        <f t="shared" si="69"/>
        <v>-0.15</v>
      </c>
    </row>
    <row r="295" spans="1:16" x14ac:dyDescent="0.3">
      <c r="A295" s="6">
        <v>46285</v>
      </c>
      <c r="B295" s="8">
        <f t="shared" si="56"/>
        <v>263</v>
      </c>
      <c r="C295" s="8">
        <f t="shared" si="57"/>
        <v>96</v>
      </c>
      <c r="D295" s="7">
        <f t="shared" si="58"/>
        <v>-0.15</v>
      </c>
      <c r="F295">
        <f t="shared" si="59"/>
        <v>0.15</v>
      </c>
      <c r="G295">
        <f t="shared" si="60"/>
        <v>0.12</v>
      </c>
      <c r="H295">
        <f t="shared" si="61"/>
        <v>0.09</v>
      </c>
      <c r="I295">
        <f t="shared" si="62"/>
        <v>0.06</v>
      </c>
      <c r="J295">
        <f t="shared" si="63"/>
        <v>0.03</v>
      </c>
      <c r="K295">
        <f t="shared" si="64"/>
        <v>0</v>
      </c>
      <c r="L295">
        <f t="shared" si="65"/>
        <v>-0.03</v>
      </c>
      <c r="M295">
        <f t="shared" si="66"/>
        <v>-0.06</v>
      </c>
      <c r="N295">
        <f t="shared" si="67"/>
        <v>-0.09</v>
      </c>
      <c r="O295">
        <f t="shared" si="68"/>
        <v>-0.12</v>
      </c>
      <c r="P295">
        <f t="shared" si="69"/>
        <v>-0.15</v>
      </c>
    </row>
    <row r="296" spans="1:16" x14ac:dyDescent="0.3">
      <c r="A296" s="6">
        <v>46286</v>
      </c>
      <c r="B296" s="8">
        <f t="shared" si="56"/>
        <v>264</v>
      </c>
      <c r="C296" s="8">
        <f t="shared" si="57"/>
        <v>95</v>
      </c>
      <c r="D296" s="7">
        <f t="shared" si="58"/>
        <v>-0.15</v>
      </c>
      <c r="F296">
        <f t="shared" si="59"/>
        <v>0.15</v>
      </c>
      <c r="G296">
        <f t="shared" si="60"/>
        <v>0.12</v>
      </c>
      <c r="H296">
        <f t="shared" si="61"/>
        <v>0.09</v>
      </c>
      <c r="I296">
        <f t="shared" si="62"/>
        <v>0.06</v>
      </c>
      <c r="J296">
        <f t="shared" si="63"/>
        <v>0.03</v>
      </c>
      <c r="K296">
        <f t="shared" si="64"/>
        <v>0</v>
      </c>
      <c r="L296">
        <f t="shared" si="65"/>
        <v>-0.03</v>
      </c>
      <c r="M296">
        <f t="shared" si="66"/>
        <v>-0.06</v>
      </c>
      <c r="N296">
        <f t="shared" si="67"/>
        <v>-0.09</v>
      </c>
      <c r="O296">
        <f t="shared" si="68"/>
        <v>-0.12</v>
      </c>
      <c r="P296">
        <f t="shared" si="69"/>
        <v>-0.15</v>
      </c>
    </row>
    <row r="297" spans="1:16" x14ac:dyDescent="0.3">
      <c r="A297" s="6">
        <v>46287</v>
      </c>
      <c r="B297" s="8">
        <f t="shared" si="56"/>
        <v>265</v>
      </c>
      <c r="C297" s="8">
        <f t="shared" si="57"/>
        <v>94</v>
      </c>
      <c r="D297" s="7">
        <f t="shared" si="58"/>
        <v>-0.15</v>
      </c>
      <c r="F297">
        <f t="shared" si="59"/>
        <v>0.15</v>
      </c>
      <c r="G297">
        <f t="shared" si="60"/>
        <v>0.12</v>
      </c>
      <c r="H297">
        <f t="shared" si="61"/>
        <v>0.09</v>
      </c>
      <c r="I297">
        <f t="shared" si="62"/>
        <v>0.06</v>
      </c>
      <c r="J297">
        <f t="shared" si="63"/>
        <v>0.03</v>
      </c>
      <c r="K297">
        <f t="shared" si="64"/>
        <v>0</v>
      </c>
      <c r="L297">
        <f t="shared" si="65"/>
        <v>-0.03</v>
      </c>
      <c r="M297">
        <f t="shared" si="66"/>
        <v>-0.06</v>
      </c>
      <c r="N297">
        <f t="shared" si="67"/>
        <v>-0.09</v>
      </c>
      <c r="O297">
        <f t="shared" si="68"/>
        <v>-0.12</v>
      </c>
      <c r="P297">
        <f t="shared" si="69"/>
        <v>-0.15</v>
      </c>
    </row>
    <row r="298" spans="1:16" x14ac:dyDescent="0.3">
      <c r="A298" s="6">
        <v>46288</v>
      </c>
      <c r="B298" s="8">
        <f t="shared" si="56"/>
        <v>266</v>
      </c>
      <c r="C298" s="8">
        <f t="shared" si="57"/>
        <v>93</v>
      </c>
      <c r="D298" s="7">
        <f t="shared" si="58"/>
        <v>-0.15</v>
      </c>
      <c r="F298">
        <f t="shared" si="59"/>
        <v>0.15</v>
      </c>
      <c r="G298">
        <f t="shared" si="60"/>
        <v>0.12</v>
      </c>
      <c r="H298">
        <f t="shared" si="61"/>
        <v>0.09</v>
      </c>
      <c r="I298">
        <f t="shared" si="62"/>
        <v>0.06</v>
      </c>
      <c r="J298">
        <f t="shared" si="63"/>
        <v>0.03</v>
      </c>
      <c r="K298">
        <f t="shared" si="64"/>
        <v>0</v>
      </c>
      <c r="L298">
        <f t="shared" si="65"/>
        <v>-0.03</v>
      </c>
      <c r="M298">
        <f t="shared" si="66"/>
        <v>-0.06</v>
      </c>
      <c r="N298">
        <f t="shared" si="67"/>
        <v>-0.09</v>
      </c>
      <c r="O298">
        <f t="shared" si="68"/>
        <v>-0.12</v>
      </c>
      <c r="P298">
        <f t="shared" si="69"/>
        <v>-0.15</v>
      </c>
    </row>
    <row r="299" spans="1:16" x14ac:dyDescent="0.3">
      <c r="A299" s="6">
        <v>46289</v>
      </c>
      <c r="B299" s="8">
        <f t="shared" si="56"/>
        <v>267</v>
      </c>
      <c r="C299" s="8">
        <f t="shared" si="57"/>
        <v>92</v>
      </c>
      <c r="D299" s="7">
        <f t="shared" si="58"/>
        <v>-0.15</v>
      </c>
      <c r="F299">
        <f t="shared" si="59"/>
        <v>0.15</v>
      </c>
      <c r="G299">
        <f t="shared" si="60"/>
        <v>0.12</v>
      </c>
      <c r="H299">
        <f t="shared" si="61"/>
        <v>0.09</v>
      </c>
      <c r="I299">
        <f t="shared" si="62"/>
        <v>0.06</v>
      </c>
      <c r="J299">
        <f t="shared" si="63"/>
        <v>0.03</v>
      </c>
      <c r="K299">
        <f t="shared" si="64"/>
        <v>0</v>
      </c>
      <c r="L299">
        <f t="shared" si="65"/>
        <v>-0.03</v>
      </c>
      <c r="M299">
        <f t="shared" si="66"/>
        <v>-0.06</v>
      </c>
      <c r="N299">
        <f t="shared" si="67"/>
        <v>-0.09</v>
      </c>
      <c r="O299">
        <f t="shared" si="68"/>
        <v>-0.12</v>
      </c>
      <c r="P299">
        <f t="shared" si="69"/>
        <v>-0.15</v>
      </c>
    </row>
    <row r="300" spans="1:16" x14ac:dyDescent="0.3">
      <c r="A300" s="6">
        <v>46290</v>
      </c>
      <c r="B300" s="8">
        <f t="shared" si="56"/>
        <v>268</v>
      </c>
      <c r="C300" s="8">
        <f t="shared" si="57"/>
        <v>91</v>
      </c>
      <c r="D300" s="7">
        <f t="shared" si="58"/>
        <v>-0.15</v>
      </c>
      <c r="F300">
        <f t="shared" si="59"/>
        <v>0.15</v>
      </c>
      <c r="G300">
        <f t="shared" si="60"/>
        <v>0.12</v>
      </c>
      <c r="H300">
        <f t="shared" si="61"/>
        <v>0.09</v>
      </c>
      <c r="I300">
        <f t="shared" si="62"/>
        <v>0.06</v>
      </c>
      <c r="J300">
        <f t="shared" si="63"/>
        <v>0.03</v>
      </c>
      <c r="K300">
        <f t="shared" si="64"/>
        <v>0</v>
      </c>
      <c r="L300">
        <f t="shared" si="65"/>
        <v>-0.03</v>
      </c>
      <c r="M300">
        <f t="shared" si="66"/>
        <v>-0.06</v>
      </c>
      <c r="N300">
        <f t="shared" si="67"/>
        <v>-0.09</v>
      </c>
      <c r="O300">
        <f t="shared" si="68"/>
        <v>-0.12</v>
      </c>
      <c r="P300">
        <f t="shared" si="69"/>
        <v>-0.15</v>
      </c>
    </row>
    <row r="301" spans="1:16" x14ac:dyDescent="0.3">
      <c r="A301" s="6">
        <v>46291</v>
      </c>
      <c r="B301" s="8">
        <f t="shared" si="56"/>
        <v>269</v>
      </c>
      <c r="C301" s="8">
        <f t="shared" si="57"/>
        <v>90</v>
      </c>
      <c r="D301" s="7">
        <f t="shared" si="58"/>
        <v>-0.15</v>
      </c>
      <c r="F301">
        <f t="shared" si="59"/>
        <v>0.15</v>
      </c>
      <c r="G301">
        <f t="shared" si="60"/>
        <v>0.12</v>
      </c>
      <c r="H301">
        <f t="shared" si="61"/>
        <v>0.09</v>
      </c>
      <c r="I301">
        <f t="shared" si="62"/>
        <v>0.06</v>
      </c>
      <c r="J301">
        <f t="shared" si="63"/>
        <v>0.03</v>
      </c>
      <c r="K301">
        <f t="shared" si="64"/>
        <v>0</v>
      </c>
      <c r="L301">
        <f t="shared" si="65"/>
        <v>-0.03</v>
      </c>
      <c r="M301">
        <f t="shared" si="66"/>
        <v>-0.06</v>
      </c>
      <c r="N301">
        <f t="shared" si="67"/>
        <v>-0.09</v>
      </c>
      <c r="O301">
        <f t="shared" si="68"/>
        <v>-0.12</v>
      </c>
      <c r="P301">
        <f t="shared" si="69"/>
        <v>-0.15</v>
      </c>
    </row>
    <row r="302" spans="1:16" x14ac:dyDescent="0.3">
      <c r="A302" s="6">
        <v>46292</v>
      </c>
      <c r="B302" s="8">
        <f t="shared" si="56"/>
        <v>270</v>
      </c>
      <c r="C302" s="8">
        <f t="shared" si="57"/>
        <v>89</v>
      </c>
      <c r="D302" s="7">
        <f t="shared" si="58"/>
        <v>-0.15</v>
      </c>
      <c r="F302">
        <f t="shared" si="59"/>
        <v>0.15</v>
      </c>
      <c r="G302">
        <f t="shared" si="60"/>
        <v>0.12</v>
      </c>
      <c r="H302">
        <f t="shared" si="61"/>
        <v>0.09</v>
      </c>
      <c r="I302">
        <f t="shared" si="62"/>
        <v>0.06</v>
      </c>
      <c r="J302">
        <f t="shared" si="63"/>
        <v>0.03</v>
      </c>
      <c r="K302">
        <f t="shared" si="64"/>
        <v>0</v>
      </c>
      <c r="L302">
        <f t="shared" si="65"/>
        <v>-0.03</v>
      </c>
      <c r="M302">
        <f t="shared" si="66"/>
        <v>-0.06</v>
      </c>
      <c r="N302">
        <f t="shared" si="67"/>
        <v>-0.09</v>
      </c>
      <c r="O302">
        <f t="shared" si="68"/>
        <v>-0.12</v>
      </c>
      <c r="P302">
        <f t="shared" si="69"/>
        <v>-0.15</v>
      </c>
    </row>
    <row r="303" spans="1:16" x14ac:dyDescent="0.3">
      <c r="A303" s="6">
        <v>46293</v>
      </c>
      <c r="B303" s="8">
        <f t="shared" si="56"/>
        <v>271</v>
      </c>
      <c r="C303" s="8">
        <f t="shared" si="57"/>
        <v>88</v>
      </c>
      <c r="D303" s="7">
        <f t="shared" si="58"/>
        <v>-0.15</v>
      </c>
      <c r="F303">
        <f t="shared" si="59"/>
        <v>0.15</v>
      </c>
      <c r="G303">
        <f t="shared" si="60"/>
        <v>0.12</v>
      </c>
      <c r="H303">
        <f t="shared" si="61"/>
        <v>0.09</v>
      </c>
      <c r="I303">
        <f t="shared" si="62"/>
        <v>0.06</v>
      </c>
      <c r="J303">
        <f t="shared" si="63"/>
        <v>0.03</v>
      </c>
      <c r="K303">
        <f t="shared" si="64"/>
        <v>0</v>
      </c>
      <c r="L303">
        <f t="shared" si="65"/>
        <v>-0.03</v>
      </c>
      <c r="M303">
        <f t="shared" si="66"/>
        <v>-0.06</v>
      </c>
      <c r="N303">
        <f t="shared" si="67"/>
        <v>-0.09</v>
      </c>
      <c r="O303">
        <f t="shared" si="68"/>
        <v>-0.12</v>
      </c>
      <c r="P303">
        <f t="shared" si="69"/>
        <v>-0.15</v>
      </c>
    </row>
    <row r="304" spans="1:16" x14ac:dyDescent="0.3">
      <c r="A304" s="6">
        <v>46294</v>
      </c>
      <c r="B304" s="8">
        <f t="shared" si="56"/>
        <v>272</v>
      </c>
      <c r="C304" s="8">
        <f t="shared" si="57"/>
        <v>87</v>
      </c>
      <c r="D304" s="7">
        <f t="shared" si="58"/>
        <v>-0.15</v>
      </c>
      <c r="F304">
        <f t="shared" si="59"/>
        <v>0.15</v>
      </c>
      <c r="G304">
        <f t="shared" si="60"/>
        <v>0.12</v>
      </c>
      <c r="H304">
        <f t="shared" si="61"/>
        <v>0.09</v>
      </c>
      <c r="I304">
        <f t="shared" si="62"/>
        <v>0.06</v>
      </c>
      <c r="J304">
        <f t="shared" si="63"/>
        <v>0.03</v>
      </c>
      <c r="K304">
        <f t="shared" si="64"/>
        <v>0</v>
      </c>
      <c r="L304">
        <f t="shared" si="65"/>
        <v>-0.03</v>
      </c>
      <c r="M304">
        <f t="shared" si="66"/>
        <v>-0.06</v>
      </c>
      <c r="N304">
        <f t="shared" si="67"/>
        <v>-0.09</v>
      </c>
      <c r="O304">
        <f t="shared" si="68"/>
        <v>-0.12</v>
      </c>
      <c r="P304">
        <f t="shared" si="69"/>
        <v>-0.15</v>
      </c>
    </row>
    <row r="305" spans="1:16" x14ac:dyDescent="0.3">
      <c r="A305" s="6">
        <v>46295</v>
      </c>
      <c r="B305" s="8">
        <f t="shared" si="56"/>
        <v>273</v>
      </c>
      <c r="C305" s="8">
        <f t="shared" si="57"/>
        <v>86</v>
      </c>
      <c r="D305" s="7">
        <f t="shared" si="58"/>
        <v>-0.15</v>
      </c>
      <c r="F305">
        <f t="shared" si="59"/>
        <v>0.15</v>
      </c>
      <c r="G305">
        <f t="shared" si="60"/>
        <v>0.12</v>
      </c>
      <c r="H305">
        <f t="shared" si="61"/>
        <v>0.09</v>
      </c>
      <c r="I305">
        <f t="shared" si="62"/>
        <v>0.06</v>
      </c>
      <c r="J305">
        <f t="shared" si="63"/>
        <v>0.03</v>
      </c>
      <c r="K305">
        <f t="shared" si="64"/>
        <v>0</v>
      </c>
      <c r="L305">
        <f t="shared" si="65"/>
        <v>-0.03</v>
      </c>
      <c r="M305">
        <f t="shared" si="66"/>
        <v>-0.06</v>
      </c>
      <c r="N305">
        <f t="shared" si="67"/>
        <v>-0.09</v>
      </c>
      <c r="O305">
        <f t="shared" si="68"/>
        <v>-0.12</v>
      </c>
      <c r="P305">
        <f t="shared" si="69"/>
        <v>-0.15</v>
      </c>
    </row>
    <row r="306" spans="1:16" x14ac:dyDescent="0.3">
      <c r="A306" s="6">
        <v>46296</v>
      </c>
      <c r="B306" s="8">
        <f t="shared" si="56"/>
        <v>274</v>
      </c>
      <c r="C306" s="8">
        <f t="shared" si="57"/>
        <v>85</v>
      </c>
      <c r="D306" s="7">
        <f t="shared" si="58"/>
        <v>-0.15</v>
      </c>
      <c r="F306">
        <f t="shared" si="59"/>
        <v>0.15</v>
      </c>
      <c r="G306">
        <f t="shared" si="60"/>
        <v>0.12</v>
      </c>
      <c r="H306">
        <f t="shared" si="61"/>
        <v>0.09</v>
      </c>
      <c r="I306">
        <f t="shared" si="62"/>
        <v>0.06</v>
      </c>
      <c r="J306">
        <f t="shared" si="63"/>
        <v>0.03</v>
      </c>
      <c r="K306">
        <f t="shared" si="64"/>
        <v>0</v>
      </c>
      <c r="L306">
        <f t="shared" si="65"/>
        <v>-0.03</v>
      </c>
      <c r="M306">
        <f t="shared" si="66"/>
        <v>-0.06</v>
      </c>
      <c r="N306">
        <f t="shared" si="67"/>
        <v>-0.09</v>
      </c>
      <c r="O306">
        <f t="shared" si="68"/>
        <v>-0.12</v>
      </c>
      <c r="P306">
        <f t="shared" si="69"/>
        <v>-0.15</v>
      </c>
    </row>
    <row r="307" spans="1:16" x14ac:dyDescent="0.3">
      <c r="A307" s="6">
        <v>46297</v>
      </c>
      <c r="B307" s="8">
        <f t="shared" si="56"/>
        <v>275</v>
      </c>
      <c r="C307" s="8">
        <f t="shared" si="57"/>
        <v>84</v>
      </c>
      <c r="D307" s="7">
        <f t="shared" si="58"/>
        <v>-0.15</v>
      </c>
      <c r="F307">
        <f t="shared" si="59"/>
        <v>0.15</v>
      </c>
      <c r="G307">
        <f t="shared" si="60"/>
        <v>0.12</v>
      </c>
      <c r="H307">
        <f t="shared" si="61"/>
        <v>0.09</v>
      </c>
      <c r="I307">
        <f t="shared" si="62"/>
        <v>0.06</v>
      </c>
      <c r="J307">
        <f t="shared" si="63"/>
        <v>0.03</v>
      </c>
      <c r="K307">
        <f t="shared" si="64"/>
        <v>0</v>
      </c>
      <c r="L307">
        <f t="shared" si="65"/>
        <v>-0.03</v>
      </c>
      <c r="M307">
        <f t="shared" si="66"/>
        <v>-0.06</v>
      </c>
      <c r="N307">
        <f t="shared" si="67"/>
        <v>-0.09</v>
      </c>
      <c r="O307">
        <f t="shared" si="68"/>
        <v>-0.12</v>
      </c>
      <c r="P307">
        <f t="shared" si="69"/>
        <v>-0.15</v>
      </c>
    </row>
    <row r="308" spans="1:16" x14ac:dyDescent="0.3">
      <c r="A308" s="6">
        <v>46298</v>
      </c>
      <c r="B308" s="8">
        <f t="shared" si="56"/>
        <v>276</v>
      </c>
      <c r="C308" s="8">
        <f t="shared" si="57"/>
        <v>83</v>
      </c>
      <c r="D308" s="7">
        <f t="shared" si="58"/>
        <v>-0.15</v>
      </c>
      <c r="F308">
        <f t="shared" si="59"/>
        <v>0.15</v>
      </c>
      <c r="G308">
        <f t="shared" si="60"/>
        <v>0.12</v>
      </c>
      <c r="H308">
        <f t="shared" si="61"/>
        <v>0.09</v>
      </c>
      <c r="I308">
        <f t="shared" si="62"/>
        <v>0.06</v>
      </c>
      <c r="J308">
        <f t="shared" si="63"/>
        <v>0.03</v>
      </c>
      <c r="K308">
        <f t="shared" si="64"/>
        <v>0</v>
      </c>
      <c r="L308">
        <f t="shared" si="65"/>
        <v>-0.03</v>
      </c>
      <c r="M308">
        <f t="shared" si="66"/>
        <v>-0.06</v>
      </c>
      <c r="N308">
        <f t="shared" si="67"/>
        <v>-0.09</v>
      </c>
      <c r="O308">
        <f t="shared" si="68"/>
        <v>-0.12</v>
      </c>
      <c r="P308">
        <f t="shared" si="69"/>
        <v>-0.15</v>
      </c>
    </row>
    <row r="309" spans="1:16" x14ac:dyDescent="0.3">
      <c r="A309" s="6">
        <v>46299</v>
      </c>
      <c r="B309" s="8">
        <f t="shared" si="56"/>
        <v>277</v>
      </c>
      <c r="C309" s="8">
        <f t="shared" si="57"/>
        <v>82</v>
      </c>
      <c r="D309" s="7">
        <f t="shared" si="58"/>
        <v>-0.15</v>
      </c>
      <c r="F309">
        <f t="shared" si="59"/>
        <v>0.15</v>
      </c>
      <c r="G309">
        <f t="shared" si="60"/>
        <v>0.12</v>
      </c>
      <c r="H309">
        <f t="shared" si="61"/>
        <v>0.09</v>
      </c>
      <c r="I309">
        <f t="shared" si="62"/>
        <v>0.06</v>
      </c>
      <c r="J309">
        <f t="shared" si="63"/>
        <v>0.03</v>
      </c>
      <c r="K309">
        <f t="shared" si="64"/>
        <v>0</v>
      </c>
      <c r="L309">
        <f t="shared" si="65"/>
        <v>-0.03</v>
      </c>
      <c r="M309">
        <f t="shared" si="66"/>
        <v>-0.06</v>
      </c>
      <c r="N309">
        <f t="shared" si="67"/>
        <v>-0.09</v>
      </c>
      <c r="O309">
        <f t="shared" si="68"/>
        <v>-0.12</v>
      </c>
      <c r="P309">
        <f t="shared" si="69"/>
        <v>-0.15</v>
      </c>
    </row>
    <row r="310" spans="1:16" x14ac:dyDescent="0.3">
      <c r="A310" s="6">
        <v>46300</v>
      </c>
      <c r="B310" s="8">
        <f t="shared" si="56"/>
        <v>278</v>
      </c>
      <c r="C310" s="8">
        <f t="shared" si="57"/>
        <v>81</v>
      </c>
      <c r="D310" s="7">
        <f t="shared" si="58"/>
        <v>-0.15</v>
      </c>
      <c r="F310">
        <f t="shared" si="59"/>
        <v>0.15</v>
      </c>
      <c r="G310">
        <f t="shared" si="60"/>
        <v>0.12</v>
      </c>
      <c r="H310">
        <f t="shared" si="61"/>
        <v>0.09</v>
      </c>
      <c r="I310">
        <f t="shared" si="62"/>
        <v>0.06</v>
      </c>
      <c r="J310">
        <f t="shared" si="63"/>
        <v>0.03</v>
      </c>
      <c r="K310">
        <f t="shared" si="64"/>
        <v>0</v>
      </c>
      <c r="L310">
        <f t="shared" si="65"/>
        <v>-0.03</v>
      </c>
      <c r="M310">
        <f t="shared" si="66"/>
        <v>-0.06</v>
      </c>
      <c r="N310">
        <f t="shared" si="67"/>
        <v>-0.09</v>
      </c>
      <c r="O310">
        <f t="shared" si="68"/>
        <v>-0.12</v>
      </c>
      <c r="P310">
        <f t="shared" si="69"/>
        <v>-0.15</v>
      </c>
    </row>
    <row r="311" spans="1:16" x14ac:dyDescent="0.3">
      <c r="A311" s="6">
        <v>46301</v>
      </c>
      <c r="B311" s="8">
        <f t="shared" si="56"/>
        <v>279</v>
      </c>
      <c r="C311" s="8">
        <f t="shared" si="57"/>
        <v>80</v>
      </c>
      <c r="D311" s="7">
        <f t="shared" si="58"/>
        <v>-0.15</v>
      </c>
      <c r="F311">
        <f t="shared" si="59"/>
        <v>0.15</v>
      </c>
      <c r="G311">
        <f t="shared" si="60"/>
        <v>0.12</v>
      </c>
      <c r="H311">
        <f t="shared" si="61"/>
        <v>0.09</v>
      </c>
      <c r="I311">
        <f t="shared" si="62"/>
        <v>0.06</v>
      </c>
      <c r="J311">
        <f t="shared" si="63"/>
        <v>0.03</v>
      </c>
      <c r="K311">
        <f t="shared" si="64"/>
        <v>0</v>
      </c>
      <c r="L311">
        <f t="shared" si="65"/>
        <v>-0.03</v>
      </c>
      <c r="M311">
        <f t="shared" si="66"/>
        <v>-0.06</v>
      </c>
      <c r="N311">
        <f t="shared" si="67"/>
        <v>-0.09</v>
      </c>
      <c r="O311">
        <f t="shared" si="68"/>
        <v>-0.12</v>
      </c>
      <c r="P311">
        <f t="shared" si="69"/>
        <v>-0.15</v>
      </c>
    </row>
    <row r="312" spans="1:16" x14ac:dyDescent="0.3">
      <c r="A312" s="6">
        <v>46302</v>
      </c>
      <c r="B312" s="8">
        <f t="shared" si="56"/>
        <v>280</v>
      </c>
      <c r="C312" s="8">
        <f t="shared" si="57"/>
        <v>79</v>
      </c>
      <c r="D312" s="7">
        <f t="shared" si="58"/>
        <v>-0.15</v>
      </c>
      <c r="F312">
        <f t="shared" si="59"/>
        <v>0.15</v>
      </c>
      <c r="G312">
        <f t="shared" si="60"/>
        <v>0.12</v>
      </c>
      <c r="H312">
        <f t="shared" si="61"/>
        <v>0.09</v>
      </c>
      <c r="I312">
        <f t="shared" si="62"/>
        <v>0.06</v>
      </c>
      <c r="J312">
        <f t="shared" si="63"/>
        <v>0.03</v>
      </c>
      <c r="K312">
        <f t="shared" si="64"/>
        <v>0</v>
      </c>
      <c r="L312">
        <f t="shared" si="65"/>
        <v>-0.03</v>
      </c>
      <c r="M312">
        <f t="shared" si="66"/>
        <v>-0.06</v>
      </c>
      <c r="N312">
        <f t="shared" si="67"/>
        <v>-0.09</v>
      </c>
      <c r="O312">
        <f t="shared" si="68"/>
        <v>-0.12</v>
      </c>
      <c r="P312">
        <f t="shared" si="69"/>
        <v>-0.15</v>
      </c>
    </row>
    <row r="313" spans="1:16" x14ac:dyDescent="0.3">
      <c r="A313" s="6">
        <v>46303</v>
      </c>
      <c r="B313" s="8">
        <f t="shared" si="56"/>
        <v>281</v>
      </c>
      <c r="C313" s="8">
        <f t="shared" si="57"/>
        <v>78</v>
      </c>
      <c r="D313" s="7">
        <f t="shared" si="58"/>
        <v>-0.15</v>
      </c>
      <c r="F313">
        <f t="shared" si="59"/>
        <v>0.15</v>
      </c>
      <c r="G313">
        <f t="shared" si="60"/>
        <v>0.12</v>
      </c>
      <c r="H313">
        <f t="shared" si="61"/>
        <v>0.09</v>
      </c>
      <c r="I313">
        <f t="shared" si="62"/>
        <v>0.06</v>
      </c>
      <c r="J313">
        <f t="shared" si="63"/>
        <v>0.03</v>
      </c>
      <c r="K313">
        <f t="shared" si="64"/>
        <v>0</v>
      </c>
      <c r="L313">
        <f t="shared" si="65"/>
        <v>-0.03</v>
      </c>
      <c r="M313">
        <f t="shared" si="66"/>
        <v>-0.06</v>
      </c>
      <c r="N313">
        <f t="shared" si="67"/>
        <v>-0.09</v>
      </c>
      <c r="O313">
        <f t="shared" si="68"/>
        <v>-0.12</v>
      </c>
      <c r="P313">
        <f t="shared" si="69"/>
        <v>-0.15</v>
      </c>
    </row>
    <row r="314" spans="1:16" x14ac:dyDescent="0.3">
      <c r="A314" s="6">
        <v>46304</v>
      </c>
      <c r="B314" s="8">
        <f t="shared" si="56"/>
        <v>282</v>
      </c>
      <c r="C314" s="8">
        <f t="shared" si="57"/>
        <v>77</v>
      </c>
      <c r="D314" s="7">
        <f t="shared" si="58"/>
        <v>-0.15</v>
      </c>
      <c r="F314">
        <f t="shared" si="59"/>
        <v>0.15</v>
      </c>
      <c r="G314">
        <f t="shared" si="60"/>
        <v>0.12</v>
      </c>
      <c r="H314">
        <f t="shared" si="61"/>
        <v>0.09</v>
      </c>
      <c r="I314">
        <f t="shared" si="62"/>
        <v>0.06</v>
      </c>
      <c r="J314">
        <f t="shared" si="63"/>
        <v>0.03</v>
      </c>
      <c r="K314">
        <f t="shared" si="64"/>
        <v>0</v>
      </c>
      <c r="L314">
        <f t="shared" si="65"/>
        <v>-0.03</v>
      </c>
      <c r="M314">
        <f t="shared" si="66"/>
        <v>-0.06</v>
      </c>
      <c r="N314">
        <f t="shared" si="67"/>
        <v>-0.09</v>
      </c>
      <c r="O314">
        <f t="shared" si="68"/>
        <v>-0.12</v>
      </c>
      <c r="P314">
        <f t="shared" si="69"/>
        <v>-0.15</v>
      </c>
    </row>
    <row r="315" spans="1:16" x14ac:dyDescent="0.3">
      <c r="A315" s="6">
        <v>46305</v>
      </c>
      <c r="B315" s="8">
        <f t="shared" si="56"/>
        <v>283</v>
      </c>
      <c r="C315" s="8">
        <f t="shared" si="57"/>
        <v>76</v>
      </c>
      <c r="D315" s="7">
        <f t="shared" si="58"/>
        <v>-0.15</v>
      </c>
      <c r="F315">
        <f t="shared" si="59"/>
        <v>0.15</v>
      </c>
      <c r="G315">
        <f t="shared" si="60"/>
        <v>0.12</v>
      </c>
      <c r="H315">
        <f t="shared" si="61"/>
        <v>0.09</v>
      </c>
      <c r="I315">
        <f t="shared" si="62"/>
        <v>0.06</v>
      </c>
      <c r="J315">
        <f t="shared" si="63"/>
        <v>0.03</v>
      </c>
      <c r="K315">
        <f t="shared" si="64"/>
        <v>0</v>
      </c>
      <c r="L315">
        <f t="shared" si="65"/>
        <v>-0.03</v>
      </c>
      <c r="M315">
        <f t="shared" si="66"/>
        <v>-0.06</v>
      </c>
      <c r="N315">
        <f t="shared" si="67"/>
        <v>-0.09</v>
      </c>
      <c r="O315">
        <f t="shared" si="68"/>
        <v>-0.12</v>
      </c>
      <c r="P315">
        <f t="shared" si="69"/>
        <v>-0.15</v>
      </c>
    </row>
    <row r="316" spans="1:16" x14ac:dyDescent="0.3">
      <c r="A316" s="6">
        <v>46306</v>
      </c>
      <c r="B316" s="8">
        <f t="shared" si="56"/>
        <v>284</v>
      </c>
      <c r="C316" s="8">
        <f t="shared" si="57"/>
        <v>75</v>
      </c>
      <c r="D316" s="7">
        <f t="shared" si="58"/>
        <v>-0.15</v>
      </c>
      <c r="F316">
        <f t="shared" si="59"/>
        <v>0.15</v>
      </c>
      <c r="G316">
        <f t="shared" si="60"/>
        <v>0.12</v>
      </c>
      <c r="H316">
        <f t="shared" si="61"/>
        <v>0.09</v>
      </c>
      <c r="I316">
        <f t="shared" si="62"/>
        <v>0.06</v>
      </c>
      <c r="J316">
        <f t="shared" si="63"/>
        <v>0.03</v>
      </c>
      <c r="K316">
        <f t="shared" si="64"/>
        <v>0</v>
      </c>
      <c r="L316">
        <f t="shared" si="65"/>
        <v>-0.03</v>
      </c>
      <c r="M316">
        <f t="shared" si="66"/>
        <v>-0.06</v>
      </c>
      <c r="N316">
        <f t="shared" si="67"/>
        <v>-0.09</v>
      </c>
      <c r="O316">
        <f t="shared" si="68"/>
        <v>-0.12</v>
      </c>
      <c r="P316">
        <f t="shared" si="69"/>
        <v>-0.15</v>
      </c>
    </row>
    <row r="317" spans="1:16" x14ac:dyDescent="0.3">
      <c r="A317" s="6">
        <v>46307</v>
      </c>
      <c r="B317" s="8">
        <f t="shared" si="56"/>
        <v>285</v>
      </c>
      <c r="C317" s="8">
        <f t="shared" si="57"/>
        <v>74</v>
      </c>
      <c r="D317" s="7">
        <f t="shared" si="58"/>
        <v>-0.15</v>
      </c>
      <c r="F317">
        <f t="shared" si="59"/>
        <v>0.15</v>
      </c>
      <c r="G317">
        <f t="shared" si="60"/>
        <v>0.12</v>
      </c>
      <c r="H317">
        <f t="shared" si="61"/>
        <v>0.09</v>
      </c>
      <c r="I317">
        <f t="shared" si="62"/>
        <v>0.06</v>
      </c>
      <c r="J317">
        <f t="shared" si="63"/>
        <v>0.03</v>
      </c>
      <c r="K317">
        <f t="shared" si="64"/>
        <v>0</v>
      </c>
      <c r="L317">
        <f t="shared" si="65"/>
        <v>-0.03</v>
      </c>
      <c r="M317">
        <f t="shared" si="66"/>
        <v>-0.06</v>
      </c>
      <c r="N317">
        <f t="shared" si="67"/>
        <v>-0.09</v>
      </c>
      <c r="O317">
        <f t="shared" si="68"/>
        <v>-0.12</v>
      </c>
      <c r="P317">
        <f t="shared" si="69"/>
        <v>-0.15</v>
      </c>
    </row>
    <row r="318" spans="1:16" x14ac:dyDescent="0.3">
      <c r="A318" s="6">
        <v>46308</v>
      </c>
      <c r="B318" s="8">
        <f t="shared" si="56"/>
        <v>286</v>
      </c>
      <c r="C318" s="8">
        <f t="shared" si="57"/>
        <v>73</v>
      </c>
      <c r="D318" s="7">
        <f t="shared" si="58"/>
        <v>-0.15</v>
      </c>
      <c r="F318">
        <f t="shared" si="59"/>
        <v>0.15</v>
      </c>
      <c r="G318">
        <f t="shared" si="60"/>
        <v>0.12</v>
      </c>
      <c r="H318">
        <f t="shared" si="61"/>
        <v>0.09</v>
      </c>
      <c r="I318">
        <f t="shared" si="62"/>
        <v>0.06</v>
      </c>
      <c r="J318">
        <f t="shared" si="63"/>
        <v>0.03</v>
      </c>
      <c r="K318">
        <f t="shared" si="64"/>
        <v>0</v>
      </c>
      <c r="L318">
        <f t="shared" si="65"/>
        <v>-0.03</v>
      </c>
      <c r="M318">
        <f t="shared" si="66"/>
        <v>-0.06</v>
      </c>
      <c r="N318">
        <f t="shared" si="67"/>
        <v>-0.09</v>
      </c>
      <c r="O318">
        <f t="shared" si="68"/>
        <v>-0.12</v>
      </c>
      <c r="P318">
        <f t="shared" si="69"/>
        <v>-0.15</v>
      </c>
    </row>
    <row r="319" spans="1:16" x14ac:dyDescent="0.3">
      <c r="A319" s="6">
        <v>46309</v>
      </c>
      <c r="B319" s="8">
        <f t="shared" si="56"/>
        <v>287</v>
      </c>
      <c r="C319" s="8">
        <f t="shared" si="57"/>
        <v>72</v>
      </c>
      <c r="D319" s="7">
        <f t="shared" si="58"/>
        <v>-0.15</v>
      </c>
      <c r="F319">
        <f t="shared" si="59"/>
        <v>0.15</v>
      </c>
      <c r="G319">
        <f t="shared" si="60"/>
        <v>0.12</v>
      </c>
      <c r="H319">
        <f t="shared" si="61"/>
        <v>0.09</v>
      </c>
      <c r="I319">
        <f t="shared" si="62"/>
        <v>0.06</v>
      </c>
      <c r="J319">
        <f t="shared" si="63"/>
        <v>0.03</v>
      </c>
      <c r="K319">
        <f t="shared" si="64"/>
        <v>0</v>
      </c>
      <c r="L319">
        <f t="shared" si="65"/>
        <v>-0.03</v>
      </c>
      <c r="M319">
        <f t="shared" si="66"/>
        <v>-0.06</v>
      </c>
      <c r="N319">
        <f t="shared" si="67"/>
        <v>-0.09</v>
      </c>
      <c r="O319">
        <f t="shared" si="68"/>
        <v>-0.12</v>
      </c>
      <c r="P319">
        <f t="shared" si="69"/>
        <v>-0.15</v>
      </c>
    </row>
    <row r="320" spans="1:16" x14ac:dyDescent="0.3">
      <c r="A320" s="6">
        <v>46310</v>
      </c>
      <c r="B320" s="8">
        <f t="shared" si="56"/>
        <v>288</v>
      </c>
      <c r="C320" s="8">
        <f t="shared" si="57"/>
        <v>71</v>
      </c>
      <c r="D320" s="7">
        <f t="shared" si="58"/>
        <v>-0.15</v>
      </c>
      <c r="F320">
        <f t="shared" si="59"/>
        <v>0.15</v>
      </c>
      <c r="G320">
        <f t="shared" si="60"/>
        <v>0.12</v>
      </c>
      <c r="H320">
        <f t="shared" si="61"/>
        <v>0.09</v>
      </c>
      <c r="I320">
        <f t="shared" si="62"/>
        <v>0.06</v>
      </c>
      <c r="J320">
        <f t="shared" si="63"/>
        <v>0.03</v>
      </c>
      <c r="K320">
        <f t="shared" si="64"/>
        <v>0</v>
      </c>
      <c r="L320">
        <f t="shared" si="65"/>
        <v>-0.03</v>
      </c>
      <c r="M320">
        <f t="shared" si="66"/>
        <v>-0.06</v>
      </c>
      <c r="N320">
        <f t="shared" si="67"/>
        <v>-0.09</v>
      </c>
      <c r="O320">
        <f t="shared" si="68"/>
        <v>-0.12</v>
      </c>
      <c r="P320">
        <f t="shared" si="69"/>
        <v>-0.15</v>
      </c>
    </row>
    <row r="321" spans="1:16" x14ac:dyDescent="0.3">
      <c r="A321" s="6">
        <v>46311</v>
      </c>
      <c r="B321" s="8">
        <f t="shared" si="56"/>
        <v>289</v>
      </c>
      <c r="C321" s="8">
        <f t="shared" si="57"/>
        <v>70</v>
      </c>
      <c r="D321" s="7">
        <f t="shared" si="58"/>
        <v>-0.15</v>
      </c>
      <c r="F321">
        <f t="shared" si="59"/>
        <v>0.15</v>
      </c>
      <c r="G321">
        <f t="shared" si="60"/>
        <v>0.12</v>
      </c>
      <c r="H321">
        <f t="shared" si="61"/>
        <v>0.09</v>
      </c>
      <c r="I321">
        <f t="shared" si="62"/>
        <v>0.06</v>
      </c>
      <c r="J321">
        <f t="shared" si="63"/>
        <v>0.03</v>
      </c>
      <c r="K321">
        <f t="shared" si="64"/>
        <v>0</v>
      </c>
      <c r="L321">
        <f t="shared" si="65"/>
        <v>-0.03</v>
      </c>
      <c r="M321">
        <f t="shared" si="66"/>
        <v>-0.06</v>
      </c>
      <c r="N321">
        <f t="shared" si="67"/>
        <v>-0.09</v>
      </c>
      <c r="O321">
        <f t="shared" si="68"/>
        <v>-0.12</v>
      </c>
      <c r="P321">
        <f t="shared" si="69"/>
        <v>-0.15</v>
      </c>
    </row>
    <row r="322" spans="1:16" x14ac:dyDescent="0.3">
      <c r="A322" s="6">
        <v>46312</v>
      </c>
      <c r="B322" s="8">
        <f t="shared" si="56"/>
        <v>290</v>
      </c>
      <c r="C322" s="8">
        <f t="shared" si="57"/>
        <v>69</v>
      </c>
      <c r="D322" s="7">
        <f t="shared" si="58"/>
        <v>-0.15</v>
      </c>
      <c r="F322">
        <f t="shared" si="59"/>
        <v>0.15</v>
      </c>
      <c r="G322">
        <f t="shared" si="60"/>
        <v>0.12</v>
      </c>
      <c r="H322">
        <f t="shared" si="61"/>
        <v>0.09</v>
      </c>
      <c r="I322">
        <f t="shared" si="62"/>
        <v>0.06</v>
      </c>
      <c r="J322">
        <f t="shared" si="63"/>
        <v>0.03</v>
      </c>
      <c r="K322">
        <f t="shared" si="64"/>
        <v>0</v>
      </c>
      <c r="L322">
        <f t="shared" si="65"/>
        <v>-0.03</v>
      </c>
      <c r="M322">
        <f t="shared" si="66"/>
        <v>-0.06</v>
      </c>
      <c r="N322">
        <f t="shared" si="67"/>
        <v>-0.09</v>
      </c>
      <c r="O322">
        <f t="shared" si="68"/>
        <v>-0.12</v>
      </c>
      <c r="P322">
        <f t="shared" si="69"/>
        <v>-0.15</v>
      </c>
    </row>
    <row r="323" spans="1:16" x14ac:dyDescent="0.3">
      <c r="A323" s="6">
        <v>46313</v>
      </c>
      <c r="B323" s="8">
        <f t="shared" ref="B323:B386" si="70" xml:space="preserve"> A323 - DATE(YEAR(A323), 1, 1) + 1</f>
        <v>291</v>
      </c>
      <c r="C323" s="8">
        <f t="shared" ref="C323:C386" si="71">MIN(ABS(359-B323), 365-ABS(359-B323))</f>
        <v>68</v>
      </c>
      <c r="D323" s="7">
        <f t="shared" ref="D323:D386" si="72">MAX(0, $T$4 - (C323/$U$4)) ^ $T$7 - $U$7</f>
        <v>-0.15</v>
      </c>
      <c r="F323">
        <f t="shared" ref="F323:F366" si="73">(-10/10) * D323</f>
        <v>0.15</v>
      </c>
      <c r="G323">
        <f t="shared" ref="G323:G386" si="74">(-8/10) * $D323</f>
        <v>0.12</v>
      </c>
      <c r="H323">
        <f t="shared" ref="H323:H386" si="75">(-6/10) * $D323</f>
        <v>0.09</v>
      </c>
      <c r="I323">
        <f t="shared" ref="I323:I386" si="76">(-4/10) * $D323</f>
        <v>0.06</v>
      </c>
      <c r="J323">
        <f t="shared" ref="J323:J386" si="77">(-2/10) * $D323</f>
        <v>0.03</v>
      </c>
      <c r="K323">
        <f t="shared" ref="K323:K386" si="78">(0/10) * $D323</f>
        <v>0</v>
      </c>
      <c r="L323">
        <f t="shared" ref="L323:L386" si="79">(2/10) * $D323</f>
        <v>-0.03</v>
      </c>
      <c r="M323">
        <f t="shared" ref="M323:M386" si="80">(4/10) * $D323</f>
        <v>-0.06</v>
      </c>
      <c r="N323">
        <f t="shared" ref="N323:N386" si="81">(6/10) * $D323</f>
        <v>-0.09</v>
      </c>
      <c r="O323">
        <f t="shared" ref="O323:O386" si="82">(8/10) * $D323</f>
        <v>-0.12</v>
      </c>
      <c r="P323">
        <f t="shared" ref="P323:P386" si="83">(10/10) * $D323</f>
        <v>-0.15</v>
      </c>
    </row>
    <row r="324" spans="1:16" x14ac:dyDescent="0.3">
      <c r="A324" s="6">
        <v>46314</v>
      </c>
      <c r="B324" s="8">
        <f t="shared" si="70"/>
        <v>292</v>
      </c>
      <c r="C324" s="8">
        <f t="shared" si="71"/>
        <v>67</v>
      </c>
      <c r="D324" s="7">
        <f t="shared" si="72"/>
        <v>-0.15</v>
      </c>
      <c r="F324">
        <f t="shared" si="73"/>
        <v>0.15</v>
      </c>
      <c r="G324">
        <f t="shared" si="74"/>
        <v>0.12</v>
      </c>
      <c r="H324">
        <f t="shared" si="75"/>
        <v>0.09</v>
      </c>
      <c r="I324">
        <f t="shared" si="76"/>
        <v>0.06</v>
      </c>
      <c r="J324">
        <f t="shared" si="77"/>
        <v>0.03</v>
      </c>
      <c r="K324">
        <f t="shared" si="78"/>
        <v>0</v>
      </c>
      <c r="L324">
        <f t="shared" si="79"/>
        <v>-0.03</v>
      </c>
      <c r="M324">
        <f t="shared" si="80"/>
        <v>-0.06</v>
      </c>
      <c r="N324">
        <f t="shared" si="81"/>
        <v>-0.09</v>
      </c>
      <c r="O324">
        <f t="shared" si="82"/>
        <v>-0.12</v>
      </c>
      <c r="P324">
        <f t="shared" si="83"/>
        <v>-0.15</v>
      </c>
    </row>
    <row r="325" spans="1:16" x14ac:dyDescent="0.3">
      <c r="A325" s="6">
        <v>46315</v>
      </c>
      <c r="B325" s="8">
        <f t="shared" si="70"/>
        <v>293</v>
      </c>
      <c r="C325" s="8">
        <f t="shared" si="71"/>
        <v>66</v>
      </c>
      <c r="D325" s="7">
        <f t="shared" si="72"/>
        <v>-0.15</v>
      </c>
      <c r="F325">
        <f t="shared" si="73"/>
        <v>0.15</v>
      </c>
      <c r="G325">
        <f t="shared" si="74"/>
        <v>0.12</v>
      </c>
      <c r="H325">
        <f t="shared" si="75"/>
        <v>0.09</v>
      </c>
      <c r="I325">
        <f t="shared" si="76"/>
        <v>0.06</v>
      </c>
      <c r="J325">
        <f t="shared" si="77"/>
        <v>0.03</v>
      </c>
      <c r="K325">
        <f t="shared" si="78"/>
        <v>0</v>
      </c>
      <c r="L325">
        <f t="shared" si="79"/>
        <v>-0.03</v>
      </c>
      <c r="M325">
        <f t="shared" si="80"/>
        <v>-0.06</v>
      </c>
      <c r="N325">
        <f t="shared" si="81"/>
        <v>-0.09</v>
      </c>
      <c r="O325">
        <f t="shared" si="82"/>
        <v>-0.12</v>
      </c>
      <c r="P325">
        <f t="shared" si="83"/>
        <v>-0.15</v>
      </c>
    </row>
    <row r="326" spans="1:16" x14ac:dyDescent="0.3">
      <c r="A326" s="6">
        <v>46316</v>
      </c>
      <c r="B326" s="8">
        <f t="shared" si="70"/>
        <v>294</v>
      </c>
      <c r="C326" s="8">
        <f t="shared" si="71"/>
        <v>65</v>
      </c>
      <c r="D326" s="7">
        <f t="shared" si="72"/>
        <v>-0.15</v>
      </c>
      <c r="F326">
        <f t="shared" si="73"/>
        <v>0.15</v>
      </c>
      <c r="G326">
        <f t="shared" si="74"/>
        <v>0.12</v>
      </c>
      <c r="H326">
        <f t="shared" si="75"/>
        <v>0.09</v>
      </c>
      <c r="I326">
        <f t="shared" si="76"/>
        <v>0.06</v>
      </c>
      <c r="J326">
        <f t="shared" si="77"/>
        <v>0.03</v>
      </c>
      <c r="K326">
        <f t="shared" si="78"/>
        <v>0</v>
      </c>
      <c r="L326">
        <f t="shared" si="79"/>
        <v>-0.03</v>
      </c>
      <c r="M326">
        <f t="shared" si="80"/>
        <v>-0.06</v>
      </c>
      <c r="N326">
        <f t="shared" si="81"/>
        <v>-0.09</v>
      </c>
      <c r="O326">
        <f t="shared" si="82"/>
        <v>-0.12</v>
      </c>
      <c r="P326">
        <f t="shared" si="83"/>
        <v>-0.15</v>
      </c>
    </row>
    <row r="327" spans="1:16" x14ac:dyDescent="0.3">
      <c r="A327" s="6">
        <v>46317</v>
      </c>
      <c r="B327" s="8">
        <f t="shared" si="70"/>
        <v>295</v>
      </c>
      <c r="C327" s="8">
        <f t="shared" si="71"/>
        <v>64</v>
      </c>
      <c r="D327" s="7">
        <f t="shared" si="72"/>
        <v>-0.15</v>
      </c>
      <c r="F327">
        <f t="shared" si="73"/>
        <v>0.15</v>
      </c>
      <c r="G327">
        <f t="shared" si="74"/>
        <v>0.12</v>
      </c>
      <c r="H327">
        <f t="shared" si="75"/>
        <v>0.09</v>
      </c>
      <c r="I327">
        <f t="shared" si="76"/>
        <v>0.06</v>
      </c>
      <c r="J327">
        <f t="shared" si="77"/>
        <v>0.03</v>
      </c>
      <c r="K327">
        <f t="shared" si="78"/>
        <v>0</v>
      </c>
      <c r="L327">
        <f t="shared" si="79"/>
        <v>-0.03</v>
      </c>
      <c r="M327">
        <f t="shared" si="80"/>
        <v>-0.06</v>
      </c>
      <c r="N327">
        <f t="shared" si="81"/>
        <v>-0.09</v>
      </c>
      <c r="O327">
        <f t="shared" si="82"/>
        <v>-0.12</v>
      </c>
      <c r="P327">
        <f t="shared" si="83"/>
        <v>-0.15</v>
      </c>
    </row>
    <row r="328" spans="1:16" x14ac:dyDescent="0.3">
      <c r="A328" s="6">
        <v>46318</v>
      </c>
      <c r="B328" s="8">
        <f t="shared" si="70"/>
        <v>296</v>
      </c>
      <c r="C328" s="8">
        <f t="shared" si="71"/>
        <v>63</v>
      </c>
      <c r="D328" s="7">
        <f t="shared" si="72"/>
        <v>-0.15</v>
      </c>
      <c r="F328">
        <f t="shared" si="73"/>
        <v>0.15</v>
      </c>
      <c r="G328">
        <f t="shared" si="74"/>
        <v>0.12</v>
      </c>
      <c r="H328">
        <f t="shared" si="75"/>
        <v>0.09</v>
      </c>
      <c r="I328">
        <f t="shared" si="76"/>
        <v>0.06</v>
      </c>
      <c r="J328">
        <f t="shared" si="77"/>
        <v>0.03</v>
      </c>
      <c r="K328">
        <f t="shared" si="78"/>
        <v>0</v>
      </c>
      <c r="L328">
        <f t="shared" si="79"/>
        <v>-0.03</v>
      </c>
      <c r="M328">
        <f t="shared" si="80"/>
        <v>-0.06</v>
      </c>
      <c r="N328">
        <f t="shared" si="81"/>
        <v>-0.09</v>
      </c>
      <c r="O328">
        <f t="shared" si="82"/>
        <v>-0.12</v>
      </c>
      <c r="P328">
        <f t="shared" si="83"/>
        <v>-0.15</v>
      </c>
    </row>
    <row r="329" spans="1:16" x14ac:dyDescent="0.3">
      <c r="A329" s="6">
        <v>46319</v>
      </c>
      <c r="B329" s="8">
        <f t="shared" si="70"/>
        <v>297</v>
      </c>
      <c r="C329" s="8">
        <f t="shared" si="71"/>
        <v>62</v>
      </c>
      <c r="D329" s="7">
        <f t="shared" si="72"/>
        <v>-0.15</v>
      </c>
      <c r="F329">
        <f t="shared" si="73"/>
        <v>0.15</v>
      </c>
      <c r="G329">
        <f t="shared" si="74"/>
        <v>0.12</v>
      </c>
      <c r="H329">
        <f t="shared" si="75"/>
        <v>0.09</v>
      </c>
      <c r="I329">
        <f t="shared" si="76"/>
        <v>0.06</v>
      </c>
      <c r="J329">
        <f t="shared" si="77"/>
        <v>0.03</v>
      </c>
      <c r="K329">
        <f t="shared" si="78"/>
        <v>0</v>
      </c>
      <c r="L329">
        <f t="shared" si="79"/>
        <v>-0.03</v>
      </c>
      <c r="M329">
        <f t="shared" si="80"/>
        <v>-0.06</v>
      </c>
      <c r="N329">
        <f t="shared" si="81"/>
        <v>-0.09</v>
      </c>
      <c r="O329">
        <f t="shared" si="82"/>
        <v>-0.12</v>
      </c>
      <c r="P329">
        <f t="shared" si="83"/>
        <v>-0.15</v>
      </c>
    </row>
    <row r="330" spans="1:16" x14ac:dyDescent="0.3">
      <c r="A330" s="6">
        <v>46320</v>
      </c>
      <c r="B330" s="8">
        <f t="shared" si="70"/>
        <v>298</v>
      </c>
      <c r="C330" s="8">
        <f t="shared" si="71"/>
        <v>61</v>
      </c>
      <c r="D330" s="7">
        <f t="shared" si="72"/>
        <v>-0.15</v>
      </c>
      <c r="F330">
        <f t="shared" si="73"/>
        <v>0.15</v>
      </c>
      <c r="G330">
        <f t="shared" si="74"/>
        <v>0.12</v>
      </c>
      <c r="H330">
        <f t="shared" si="75"/>
        <v>0.09</v>
      </c>
      <c r="I330">
        <f t="shared" si="76"/>
        <v>0.06</v>
      </c>
      <c r="J330">
        <f t="shared" si="77"/>
        <v>0.03</v>
      </c>
      <c r="K330">
        <f t="shared" si="78"/>
        <v>0</v>
      </c>
      <c r="L330">
        <f t="shared" si="79"/>
        <v>-0.03</v>
      </c>
      <c r="M330">
        <f t="shared" si="80"/>
        <v>-0.06</v>
      </c>
      <c r="N330">
        <f t="shared" si="81"/>
        <v>-0.09</v>
      </c>
      <c r="O330">
        <f t="shared" si="82"/>
        <v>-0.12</v>
      </c>
      <c r="P330">
        <f t="shared" si="83"/>
        <v>-0.15</v>
      </c>
    </row>
    <row r="331" spans="1:16" x14ac:dyDescent="0.3">
      <c r="A331" s="6">
        <v>46321</v>
      </c>
      <c r="B331" s="8">
        <f t="shared" si="70"/>
        <v>299</v>
      </c>
      <c r="C331" s="8">
        <f t="shared" si="71"/>
        <v>60</v>
      </c>
      <c r="D331" s="7">
        <f t="shared" si="72"/>
        <v>-0.15</v>
      </c>
      <c r="F331">
        <f t="shared" si="73"/>
        <v>0.15</v>
      </c>
      <c r="G331">
        <f t="shared" si="74"/>
        <v>0.12</v>
      </c>
      <c r="H331">
        <f t="shared" si="75"/>
        <v>0.09</v>
      </c>
      <c r="I331">
        <f t="shared" si="76"/>
        <v>0.06</v>
      </c>
      <c r="J331">
        <f t="shared" si="77"/>
        <v>0.03</v>
      </c>
      <c r="K331">
        <f t="shared" si="78"/>
        <v>0</v>
      </c>
      <c r="L331">
        <f t="shared" si="79"/>
        <v>-0.03</v>
      </c>
      <c r="M331">
        <f t="shared" si="80"/>
        <v>-0.06</v>
      </c>
      <c r="N331">
        <f t="shared" si="81"/>
        <v>-0.09</v>
      </c>
      <c r="O331">
        <f t="shared" si="82"/>
        <v>-0.12</v>
      </c>
      <c r="P331">
        <f t="shared" si="83"/>
        <v>-0.15</v>
      </c>
    </row>
    <row r="332" spans="1:16" x14ac:dyDescent="0.3">
      <c r="A332" s="6">
        <v>46322</v>
      </c>
      <c r="B332" s="8">
        <f t="shared" si="70"/>
        <v>300</v>
      </c>
      <c r="C332" s="8">
        <f t="shared" si="71"/>
        <v>59</v>
      </c>
      <c r="D332" s="7">
        <f t="shared" si="72"/>
        <v>-0.15</v>
      </c>
      <c r="F332">
        <f t="shared" si="73"/>
        <v>0.15</v>
      </c>
      <c r="G332">
        <f t="shared" si="74"/>
        <v>0.12</v>
      </c>
      <c r="H332">
        <f t="shared" si="75"/>
        <v>0.09</v>
      </c>
      <c r="I332">
        <f t="shared" si="76"/>
        <v>0.06</v>
      </c>
      <c r="J332">
        <f t="shared" si="77"/>
        <v>0.03</v>
      </c>
      <c r="K332">
        <f t="shared" si="78"/>
        <v>0</v>
      </c>
      <c r="L332">
        <f t="shared" si="79"/>
        <v>-0.03</v>
      </c>
      <c r="M332">
        <f t="shared" si="80"/>
        <v>-0.06</v>
      </c>
      <c r="N332">
        <f t="shared" si="81"/>
        <v>-0.09</v>
      </c>
      <c r="O332">
        <f t="shared" si="82"/>
        <v>-0.12</v>
      </c>
      <c r="P332">
        <f t="shared" si="83"/>
        <v>-0.15</v>
      </c>
    </row>
    <row r="333" spans="1:16" x14ac:dyDescent="0.3">
      <c r="A333" s="6">
        <v>46323</v>
      </c>
      <c r="B333" s="8">
        <f t="shared" si="70"/>
        <v>301</v>
      </c>
      <c r="C333" s="8">
        <f t="shared" si="71"/>
        <v>58</v>
      </c>
      <c r="D333" s="7">
        <f t="shared" si="72"/>
        <v>-0.15</v>
      </c>
      <c r="F333">
        <f t="shared" si="73"/>
        <v>0.15</v>
      </c>
      <c r="G333">
        <f t="shared" si="74"/>
        <v>0.12</v>
      </c>
      <c r="H333">
        <f t="shared" si="75"/>
        <v>0.09</v>
      </c>
      <c r="I333">
        <f t="shared" si="76"/>
        <v>0.06</v>
      </c>
      <c r="J333">
        <f t="shared" si="77"/>
        <v>0.03</v>
      </c>
      <c r="K333">
        <f t="shared" si="78"/>
        <v>0</v>
      </c>
      <c r="L333">
        <f t="shared" si="79"/>
        <v>-0.03</v>
      </c>
      <c r="M333">
        <f t="shared" si="80"/>
        <v>-0.06</v>
      </c>
      <c r="N333">
        <f t="shared" si="81"/>
        <v>-0.09</v>
      </c>
      <c r="O333">
        <f t="shared" si="82"/>
        <v>-0.12</v>
      </c>
      <c r="P333">
        <f t="shared" si="83"/>
        <v>-0.15</v>
      </c>
    </row>
    <row r="334" spans="1:16" x14ac:dyDescent="0.3">
      <c r="A334" s="6">
        <v>46324</v>
      </c>
      <c r="B334" s="8">
        <f t="shared" si="70"/>
        <v>302</v>
      </c>
      <c r="C334" s="8">
        <f t="shared" si="71"/>
        <v>57</v>
      </c>
      <c r="D334" s="7">
        <f t="shared" si="72"/>
        <v>-0.15</v>
      </c>
      <c r="F334">
        <f t="shared" si="73"/>
        <v>0.15</v>
      </c>
      <c r="G334">
        <f t="shared" si="74"/>
        <v>0.12</v>
      </c>
      <c r="H334">
        <f t="shared" si="75"/>
        <v>0.09</v>
      </c>
      <c r="I334">
        <f t="shared" si="76"/>
        <v>0.06</v>
      </c>
      <c r="J334">
        <f t="shared" si="77"/>
        <v>0.03</v>
      </c>
      <c r="K334">
        <f t="shared" si="78"/>
        <v>0</v>
      </c>
      <c r="L334">
        <f t="shared" si="79"/>
        <v>-0.03</v>
      </c>
      <c r="M334">
        <f t="shared" si="80"/>
        <v>-0.06</v>
      </c>
      <c r="N334">
        <f t="shared" si="81"/>
        <v>-0.09</v>
      </c>
      <c r="O334">
        <f t="shared" si="82"/>
        <v>-0.12</v>
      </c>
      <c r="P334">
        <f t="shared" si="83"/>
        <v>-0.15</v>
      </c>
    </row>
    <row r="335" spans="1:16" x14ac:dyDescent="0.3">
      <c r="A335" s="6">
        <v>46325</v>
      </c>
      <c r="B335" s="8">
        <f t="shared" si="70"/>
        <v>303</v>
      </c>
      <c r="C335" s="8">
        <f t="shared" si="71"/>
        <v>56</v>
      </c>
      <c r="D335" s="7">
        <f t="shared" si="72"/>
        <v>-0.15</v>
      </c>
      <c r="F335">
        <f t="shared" si="73"/>
        <v>0.15</v>
      </c>
      <c r="G335">
        <f t="shared" si="74"/>
        <v>0.12</v>
      </c>
      <c r="H335">
        <f t="shared" si="75"/>
        <v>0.09</v>
      </c>
      <c r="I335">
        <f t="shared" si="76"/>
        <v>0.06</v>
      </c>
      <c r="J335">
        <f t="shared" si="77"/>
        <v>0.03</v>
      </c>
      <c r="K335">
        <f t="shared" si="78"/>
        <v>0</v>
      </c>
      <c r="L335">
        <f t="shared" si="79"/>
        <v>-0.03</v>
      </c>
      <c r="M335">
        <f t="shared" si="80"/>
        <v>-0.06</v>
      </c>
      <c r="N335">
        <f t="shared" si="81"/>
        <v>-0.09</v>
      </c>
      <c r="O335">
        <f t="shared" si="82"/>
        <v>-0.12</v>
      </c>
      <c r="P335">
        <f t="shared" si="83"/>
        <v>-0.15</v>
      </c>
    </row>
    <row r="336" spans="1:16" x14ac:dyDescent="0.3">
      <c r="A336" s="6">
        <v>46326</v>
      </c>
      <c r="B336" s="8">
        <f t="shared" si="70"/>
        <v>304</v>
      </c>
      <c r="C336" s="8">
        <f t="shared" si="71"/>
        <v>55</v>
      </c>
      <c r="D336" s="7">
        <f t="shared" si="72"/>
        <v>-0.15</v>
      </c>
      <c r="F336">
        <f t="shared" si="73"/>
        <v>0.15</v>
      </c>
      <c r="G336">
        <f t="shared" si="74"/>
        <v>0.12</v>
      </c>
      <c r="H336">
        <f t="shared" si="75"/>
        <v>0.09</v>
      </c>
      <c r="I336">
        <f t="shared" si="76"/>
        <v>0.06</v>
      </c>
      <c r="J336">
        <f t="shared" si="77"/>
        <v>0.03</v>
      </c>
      <c r="K336">
        <f t="shared" si="78"/>
        <v>0</v>
      </c>
      <c r="L336">
        <f t="shared" si="79"/>
        <v>-0.03</v>
      </c>
      <c r="M336">
        <f t="shared" si="80"/>
        <v>-0.06</v>
      </c>
      <c r="N336">
        <f t="shared" si="81"/>
        <v>-0.09</v>
      </c>
      <c r="O336">
        <f t="shared" si="82"/>
        <v>-0.12</v>
      </c>
      <c r="P336">
        <f t="shared" si="83"/>
        <v>-0.15</v>
      </c>
    </row>
    <row r="337" spans="1:16" x14ac:dyDescent="0.3">
      <c r="A337" s="6">
        <v>46327</v>
      </c>
      <c r="B337" s="8">
        <f t="shared" si="70"/>
        <v>305</v>
      </c>
      <c r="C337" s="8">
        <f t="shared" si="71"/>
        <v>54</v>
      </c>
      <c r="D337" s="7">
        <f t="shared" si="72"/>
        <v>-0.15</v>
      </c>
      <c r="F337">
        <f t="shared" si="73"/>
        <v>0.15</v>
      </c>
      <c r="G337">
        <f t="shared" si="74"/>
        <v>0.12</v>
      </c>
      <c r="H337">
        <f t="shared" si="75"/>
        <v>0.09</v>
      </c>
      <c r="I337">
        <f t="shared" si="76"/>
        <v>0.06</v>
      </c>
      <c r="J337">
        <f t="shared" si="77"/>
        <v>0.03</v>
      </c>
      <c r="K337">
        <f t="shared" si="78"/>
        <v>0</v>
      </c>
      <c r="L337">
        <f t="shared" si="79"/>
        <v>-0.03</v>
      </c>
      <c r="M337">
        <f t="shared" si="80"/>
        <v>-0.06</v>
      </c>
      <c r="N337">
        <f t="shared" si="81"/>
        <v>-0.09</v>
      </c>
      <c r="O337">
        <f t="shared" si="82"/>
        <v>-0.12</v>
      </c>
      <c r="P337">
        <f t="shared" si="83"/>
        <v>-0.15</v>
      </c>
    </row>
    <row r="338" spans="1:16" x14ac:dyDescent="0.3">
      <c r="A338" s="6">
        <v>46328</v>
      </c>
      <c r="B338" s="8">
        <f t="shared" si="70"/>
        <v>306</v>
      </c>
      <c r="C338" s="8">
        <f t="shared" si="71"/>
        <v>53</v>
      </c>
      <c r="D338" s="7">
        <f t="shared" si="72"/>
        <v>-0.15</v>
      </c>
      <c r="F338">
        <f t="shared" si="73"/>
        <v>0.15</v>
      </c>
      <c r="G338">
        <f t="shared" si="74"/>
        <v>0.12</v>
      </c>
      <c r="H338">
        <f t="shared" si="75"/>
        <v>0.09</v>
      </c>
      <c r="I338">
        <f t="shared" si="76"/>
        <v>0.06</v>
      </c>
      <c r="J338">
        <f t="shared" si="77"/>
        <v>0.03</v>
      </c>
      <c r="K338">
        <f t="shared" si="78"/>
        <v>0</v>
      </c>
      <c r="L338">
        <f t="shared" si="79"/>
        <v>-0.03</v>
      </c>
      <c r="M338">
        <f t="shared" si="80"/>
        <v>-0.06</v>
      </c>
      <c r="N338">
        <f t="shared" si="81"/>
        <v>-0.09</v>
      </c>
      <c r="O338">
        <f t="shared" si="82"/>
        <v>-0.12</v>
      </c>
      <c r="P338">
        <f t="shared" si="83"/>
        <v>-0.15</v>
      </c>
    </row>
    <row r="339" spans="1:16" x14ac:dyDescent="0.3">
      <c r="A339" s="6">
        <v>46329</v>
      </c>
      <c r="B339" s="8">
        <f t="shared" si="70"/>
        <v>307</v>
      </c>
      <c r="C339" s="8">
        <f t="shared" si="71"/>
        <v>52</v>
      </c>
      <c r="D339" s="7">
        <f t="shared" si="72"/>
        <v>-0.15</v>
      </c>
      <c r="F339">
        <f t="shared" si="73"/>
        <v>0.15</v>
      </c>
      <c r="G339">
        <f t="shared" si="74"/>
        <v>0.12</v>
      </c>
      <c r="H339">
        <f t="shared" si="75"/>
        <v>0.09</v>
      </c>
      <c r="I339">
        <f t="shared" si="76"/>
        <v>0.06</v>
      </c>
      <c r="J339">
        <f t="shared" si="77"/>
        <v>0.03</v>
      </c>
      <c r="K339">
        <f t="shared" si="78"/>
        <v>0</v>
      </c>
      <c r="L339">
        <f t="shared" si="79"/>
        <v>-0.03</v>
      </c>
      <c r="M339">
        <f t="shared" si="80"/>
        <v>-0.06</v>
      </c>
      <c r="N339">
        <f t="shared" si="81"/>
        <v>-0.09</v>
      </c>
      <c r="O339">
        <f t="shared" si="82"/>
        <v>-0.12</v>
      </c>
      <c r="P339">
        <f t="shared" si="83"/>
        <v>-0.15</v>
      </c>
    </row>
    <row r="340" spans="1:16" x14ac:dyDescent="0.3">
      <c r="A340" s="6">
        <v>46330</v>
      </c>
      <c r="B340" s="8">
        <f t="shared" si="70"/>
        <v>308</v>
      </c>
      <c r="C340" s="8">
        <f t="shared" si="71"/>
        <v>51</v>
      </c>
      <c r="D340" s="7">
        <f t="shared" si="72"/>
        <v>-0.15</v>
      </c>
      <c r="F340">
        <f t="shared" si="73"/>
        <v>0.15</v>
      </c>
      <c r="G340">
        <f t="shared" si="74"/>
        <v>0.12</v>
      </c>
      <c r="H340">
        <f t="shared" si="75"/>
        <v>0.09</v>
      </c>
      <c r="I340">
        <f t="shared" si="76"/>
        <v>0.06</v>
      </c>
      <c r="J340">
        <f t="shared" si="77"/>
        <v>0.03</v>
      </c>
      <c r="K340">
        <f t="shared" si="78"/>
        <v>0</v>
      </c>
      <c r="L340">
        <f t="shared" si="79"/>
        <v>-0.03</v>
      </c>
      <c r="M340">
        <f t="shared" si="80"/>
        <v>-0.06</v>
      </c>
      <c r="N340">
        <f t="shared" si="81"/>
        <v>-0.09</v>
      </c>
      <c r="O340">
        <f t="shared" si="82"/>
        <v>-0.12</v>
      </c>
      <c r="P340">
        <f t="shared" si="83"/>
        <v>-0.15</v>
      </c>
    </row>
    <row r="341" spans="1:16" x14ac:dyDescent="0.3">
      <c r="A341" s="6">
        <v>46331</v>
      </c>
      <c r="B341" s="8">
        <f t="shared" si="70"/>
        <v>309</v>
      </c>
      <c r="C341" s="8">
        <f t="shared" si="71"/>
        <v>50</v>
      </c>
      <c r="D341" s="7">
        <f t="shared" si="72"/>
        <v>-0.15</v>
      </c>
      <c r="F341">
        <f t="shared" si="73"/>
        <v>0.15</v>
      </c>
      <c r="G341">
        <f t="shared" si="74"/>
        <v>0.12</v>
      </c>
      <c r="H341">
        <f t="shared" si="75"/>
        <v>0.09</v>
      </c>
      <c r="I341">
        <f t="shared" si="76"/>
        <v>0.06</v>
      </c>
      <c r="J341">
        <f t="shared" si="77"/>
        <v>0.03</v>
      </c>
      <c r="K341">
        <f t="shared" si="78"/>
        <v>0</v>
      </c>
      <c r="L341">
        <f t="shared" si="79"/>
        <v>-0.03</v>
      </c>
      <c r="M341">
        <f t="shared" si="80"/>
        <v>-0.06</v>
      </c>
      <c r="N341">
        <f t="shared" si="81"/>
        <v>-0.09</v>
      </c>
      <c r="O341">
        <f t="shared" si="82"/>
        <v>-0.12</v>
      </c>
      <c r="P341">
        <f t="shared" si="83"/>
        <v>-0.15</v>
      </c>
    </row>
    <row r="342" spans="1:16" x14ac:dyDescent="0.3">
      <c r="A342" s="6">
        <v>46332</v>
      </c>
      <c r="B342" s="8">
        <f t="shared" si="70"/>
        <v>310</v>
      </c>
      <c r="C342" s="8">
        <f t="shared" si="71"/>
        <v>49</v>
      </c>
      <c r="D342" s="7">
        <f t="shared" si="72"/>
        <v>-0.15</v>
      </c>
      <c r="F342">
        <f t="shared" si="73"/>
        <v>0.15</v>
      </c>
      <c r="G342">
        <f t="shared" si="74"/>
        <v>0.12</v>
      </c>
      <c r="H342">
        <f t="shared" si="75"/>
        <v>0.09</v>
      </c>
      <c r="I342">
        <f t="shared" si="76"/>
        <v>0.06</v>
      </c>
      <c r="J342">
        <f t="shared" si="77"/>
        <v>0.03</v>
      </c>
      <c r="K342">
        <f t="shared" si="78"/>
        <v>0</v>
      </c>
      <c r="L342">
        <f t="shared" si="79"/>
        <v>-0.03</v>
      </c>
      <c r="M342">
        <f t="shared" si="80"/>
        <v>-0.06</v>
      </c>
      <c r="N342">
        <f t="shared" si="81"/>
        <v>-0.09</v>
      </c>
      <c r="O342">
        <f t="shared" si="82"/>
        <v>-0.12</v>
      </c>
      <c r="P342">
        <f t="shared" si="83"/>
        <v>-0.15</v>
      </c>
    </row>
    <row r="343" spans="1:16" x14ac:dyDescent="0.3">
      <c r="A343" s="6">
        <v>46333</v>
      </c>
      <c r="B343" s="8">
        <f t="shared" si="70"/>
        <v>311</v>
      </c>
      <c r="C343" s="8">
        <f t="shared" si="71"/>
        <v>48</v>
      </c>
      <c r="D343" s="7">
        <f t="shared" si="72"/>
        <v>-0.15</v>
      </c>
      <c r="F343">
        <f t="shared" si="73"/>
        <v>0.15</v>
      </c>
      <c r="G343">
        <f t="shared" si="74"/>
        <v>0.12</v>
      </c>
      <c r="H343">
        <f t="shared" si="75"/>
        <v>0.09</v>
      </c>
      <c r="I343">
        <f t="shared" si="76"/>
        <v>0.06</v>
      </c>
      <c r="J343">
        <f t="shared" si="77"/>
        <v>0.03</v>
      </c>
      <c r="K343">
        <f t="shared" si="78"/>
        <v>0</v>
      </c>
      <c r="L343">
        <f t="shared" si="79"/>
        <v>-0.03</v>
      </c>
      <c r="M343">
        <f t="shared" si="80"/>
        <v>-0.06</v>
      </c>
      <c r="N343">
        <f t="shared" si="81"/>
        <v>-0.09</v>
      </c>
      <c r="O343">
        <f t="shared" si="82"/>
        <v>-0.12</v>
      </c>
      <c r="P343">
        <f t="shared" si="83"/>
        <v>-0.15</v>
      </c>
    </row>
    <row r="344" spans="1:16" x14ac:dyDescent="0.3">
      <c r="A344" s="6">
        <v>46334</v>
      </c>
      <c r="B344" s="8">
        <f t="shared" si="70"/>
        <v>312</v>
      </c>
      <c r="C344" s="8">
        <f t="shared" si="71"/>
        <v>47</v>
      </c>
      <c r="D344" s="7">
        <f t="shared" si="72"/>
        <v>-0.15</v>
      </c>
      <c r="F344">
        <f t="shared" si="73"/>
        <v>0.15</v>
      </c>
      <c r="G344">
        <f t="shared" si="74"/>
        <v>0.12</v>
      </c>
      <c r="H344">
        <f t="shared" si="75"/>
        <v>0.09</v>
      </c>
      <c r="I344">
        <f t="shared" si="76"/>
        <v>0.06</v>
      </c>
      <c r="J344">
        <f t="shared" si="77"/>
        <v>0.03</v>
      </c>
      <c r="K344">
        <f t="shared" si="78"/>
        <v>0</v>
      </c>
      <c r="L344">
        <f t="shared" si="79"/>
        <v>-0.03</v>
      </c>
      <c r="M344">
        <f t="shared" si="80"/>
        <v>-0.06</v>
      </c>
      <c r="N344">
        <f t="shared" si="81"/>
        <v>-0.09</v>
      </c>
      <c r="O344">
        <f t="shared" si="82"/>
        <v>-0.12</v>
      </c>
      <c r="P344">
        <f t="shared" si="83"/>
        <v>-0.15</v>
      </c>
    </row>
    <row r="345" spans="1:16" x14ac:dyDescent="0.3">
      <c r="A345" s="6">
        <v>46335</v>
      </c>
      <c r="B345" s="8">
        <f t="shared" si="70"/>
        <v>313</v>
      </c>
      <c r="C345" s="8">
        <f t="shared" si="71"/>
        <v>46</v>
      </c>
      <c r="D345" s="7">
        <f t="shared" si="72"/>
        <v>-0.15</v>
      </c>
      <c r="F345">
        <f t="shared" si="73"/>
        <v>0.15</v>
      </c>
      <c r="G345">
        <f t="shared" si="74"/>
        <v>0.12</v>
      </c>
      <c r="H345">
        <f t="shared" si="75"/>
        <v>0.09</v>
      </c>
      <c r="I345">
        <f t="shared" si="76"/>
        <v>0.06</v>
      </c>
      <c r="J345">
        <f t="shared" si="77"/>
        <v>0.03</v>
      </c>
      <c r="K345">
        <f t="shared" si="78"/>
        <v>0</v>
      </c>
      <c r="L345">
        <f t="shared" si="79"/>
        <v>-0.03</v>
      </c>
      <c r="M345">
        <f t="shared" si="80"/>
        <v>-0.06</v>
      </c>
      <c r="N345">
        <f t="shared" si="81"/>
        <v>-0.09</v>
      </c>
      <c r="O345">
        <f t="shared" si="82"/>
        <v>-0.12</v>
      </c>
      <c r="P345">
        <f t="shared" si="83"/>
        <v>-0.15</v>
      </c>
    </row>
    <row r="346" spans="1:16" x14ac:dyDescent="0.3">
      <c r="A346" s="6">
        <v>46336</v>
      </c>
      <c r="B346" s="8">
        <f t="shared" si="70"/>
        <v>314</v>
      </c>
      <c r="C346" s="8">
        <f t="shared" si="71"/>
        <v>45</v>
      </c>
      <c r="D346" s="7">
        <f t="shared" si="72"/>
        <v>-0.15</v>
      </c>
      <c r="F346">
        <f t="shared" si="73"/>
        <v>0.15</v>
      </c>
      <c r="G346">
        <f t="shared" si="74"/>
        <v>0.12</v>
      </c>
      <c r="H346">
        <f t="shared" si="75"/>
        <v>0.09</v>
      </c>
      <c r="I346">
        <f t="shared" si="76"/>
        <v>0.06</v>
      </c>
      <c r="J346">
        <f t="shared" si="77"/>
        <v>0.03</v>
      </c>
      <c r="K346">
        <f t="shared" si="78"/>
        <v>0</v>
      </c>
      <c r="L346">
        <f t="shared" si="79"/>
        <v>-0.03</v>
      </c>
      <c r="M346">
        <f t="shared" si="80"/>
        <v>-0.06</v>
      </c>
      <c r="N346">
        <f t="shared" si="81"/>
        <v>-0.09</v>
      </c>
      <c r="O346">
        <f t="shared" si="82"/>
        <v>-0.12</v>
      </c>
      <c r="P346">
        <f t="shared" si="83"/>
        <v>-0.15</v>
      </c>
    </row>
    <row r="347" spans="1:16" x14ac:dyDescent="0.3">
      <c r="A347" s="6">
        <v>46337</v>
      </c>
      <c r="B347" s="8">
        <f t="shared" si="70"/>
        <v>315</v>
      </c>
      <c r="C347" s="8">
        <f t="shared" si="71"/>
        <v>44</v>
      </c>
      <c r="D347" s="7">
        <f t="shared" si="72"/>
        <v>-0.15</v>
      </c>
      <c r="F347">
        <f t="shared" si="73"/>
        <v>0.15</v>
      </c>
      <c r="G347">
        <f t="shared" si="74"/>
        <v>0.12</v>
      </c>
      <c r="H347">
        <f t="shared" si="75"/>
        <v>0.09</v>
      </c>
      <c r="I347">
        <f t="shared" si="76"/>
        <v>0.06</v>
      </c>
      <c r="J347">
        <f t="shared" si="77"/>
        <v>0.03</v>
      </c>
      <c r="K347">
        <f t="shared" si="78"/>
        <v>0</v>
      </c>
      <c r="L347">
        <f t="shared" si="79"/>
        <v>-0.03</v>
      </c>
      <c r="M347">
        <f t="shared" si="80"/>
        <v>-0.06</v>
      </c>
      <c r="N347">
        <f t="shared" si="81"/>
        <v>-0.09</v>
      </c>
      <c r="O347">
        <f t="shared" si="82"/>
        <v>-0.12</v>
      </c>
      <c r="P347">
        <f t="shared" si="83"/>
        <v>-0.15</v>
      </c>
    </row>
    <row r="348" spans="1:16" x14ac:dyDescent="0.3">
      <c r="A348" s="6">
        <v>46338</v>
      </c>
      <c r="B348" s="8">
        <f t="shared" si="70"/>
        <v>316</v>
      </c>
      <c r="C348" s="8">
        <f t="shared" si="71"/>
        <v>43</v>
      </c>
      <c r="D348" s="7">
        <f t="shared" si="72"/>
        <v>-0.14604715292478948</v>
      </c>
      <c r="F348">
        <f t="shared" si="73"/>
        <v>0.14604715292478948</v>
      </c>
      <c r="G348">
        <f t="shared" si="74"/>
        <v>0.11683772233983158</v>
      </c>
      <c r="H348">
        <f t="shared" si="75"/>
        <v>8.7628291754873688E-2</v>
      </c>
      <c r="I348">
        <f t="shared" si="76"/>
        <v>5.8418861169915792E-2</v>
      </c>
      <c r="J348">
        <f t="shared" si="77"/>
        <v>2.9209430584957896E-2</v>
      </c>
      <c r="K348">
        <f t="shared" si="78"/>
        <v>0</v>
      </c>
      <c r="L348">
        <f t="shared" si="79"/>
        <v>-2.9209430584957896E-2</v>
      </c>
      <c r="M348">
        <f t="shared" si="80"/>
        <v>-5.8418861169915792E-2</v>
      </c>
      <c r="N348">
        <f t="shared" si="81"/>
        <v>-8.7628291754873688E-2</v>
      </c>
      <c r="O348">
        <f t="shared" si="82"/>
        <v>-0.11683772233983158</v>
      </c>
      <c r="P348">
        <f t="shared" si="83"/>
        <v>-0.14604715292478948</v>
      </c>
    </row>
    <row r="349" spans="1:16" x14ac:dyDescent="0.3">
      <c r="A349" s="6">
        <v>46339</v>
      </c>
      <c r="B349" s="8">
        <f t="shared" si="70"/>
        <v>317</v>
      </c>
      <c r="C349" s="8">
        <f t="shared" si="71"/>
        <v>42</v>
      </c>
      <c r="D349" s="7">
        <f t="shared" si="72"/>
        <v>-0.13881966011250102</v>
      </c>
      <c r="F349">
        <f t="shared" si="73"/>
        <v>0.13881966011250102</v>
      </c>
      <c r="G349">
        <f t="shared" si="74"/>
        <v>0.11105572809000082</v>
      </c>
      <c r="H349">
        <f t="shared" si="75"/>
        <v>8.3291796067500604E-2</v>
      </c>
      <c r="I349">
        <f t="shared" si="76"/>
        <v>5.5527864045000409E-2</v>
      </c>
      <c r="J349">
        <f t="shared" si="77"/>
        <v>2.7763932022500205E-2</v>
      </c>
      <c r="K349">
        <f t="shared" si="78"/>
        <v>0</v>
      </c>
      <c r="L349">
        <f t="shared" si="79"/>
        <v>-2.7763932022500205E-2</v>
      </c>
      <c r="M349">
        <f t="shared" si="80"/>
        <v>-5.5527864045000409E-2</v>
      </c>
      <c r="N349">
        <f t="shared" si="81"/>
        <v>-8.3291796067500604E-2</v>
      </c>
      <c r="O349">
        <f t="shared" si="82"/>
        <v>-0.11105572809000082</v>
      </c>
      <c r="P349">
        <f t="shared" si="83"/>
        <v>-0.13881966011250102</v>
      </c>
    </row>
    <row r="350" spans="1:16" x14ac:dyDescent="0.3">
      <c r="A350" s="6">
        <v>46340</v>
      </c>
      <c r="B350" s="8">
        <f t="shared" si="70"/>
        <v>318</v>
      </c>
      <c r="C350" s="8">
        <f t="shared" si="71"/>
        <v>41</v>
      </c>
      <c r="D350" s="7">
        <f t="shared" si="72"/>
        <v>-0.12946040409355619</v>
      </c>
      <c r="F350">
        <f t="shared" si="73"/>
        <v>0.12946040409355619</v>
      </c>
      <c r="G350">
        <f t="shared" si="74"/>
        <v>0.10356832327484496</v>
      </c>
      <c r="H350">
        <f t="shared" si="75"/>
        <v>7.7676242456133707E-2</v>
      </c>
      <c r="I350">
        <f t="shared" si="76"/>
        <v>5.1784161637422478E-2</v>
      </c>
      <c r="J350">
        <f t="shared" si="77"/>
        <v>2.5892080818711239E-2</v>
      </c>
      <c r="K350">
        <f t="shared" si="78"/>
        <v>0</v>
      </c>
      <c r="L350">
        <f t="shared" si="79"/>
        <v>-2.5892080818711239E-2</v>
      </c>
      <c r="M350">
        <f t="shared" si="80"/>
        <v>-5.1784161637422478E-2</v>
      </c>
      <c r="N350">
        <f t="shared" si="81"/>
        <v>-7.7676242456133707E-2</v>
      </c>
      <c r="O350">
        <f t="shared" si="82"/>
        <v>-0.10356832327484496</v>
      </c>
      <c r="P350">
        <f t="shared" si="83"/>
        <v>-0.12946040409355619</v>
      </c>
    </row>
    <row r="351" spans="1:16" x14ac:dyDescent="0.3">
      <c r="A351" s="6">
        <v>46341</v>
      </c>
      <c r="B351" s="8">
        <f t="shared" si="70"/>
        <v>319</v>
      </c>
      <c r="C351" s="8">
        <f t="shared" si="71"/>
        <v>40</v>
      </c>
      <c r="D351" s="7">
        <f t="shared" si="72"/>
        <v>-0.11837722339831616</v>
      </c>
      <c r="F351">
        <f t="shared" si="73"/>
        <v>0.11837722339831616</v>
      </c>
      <c r="G351">
        <f t="shared" si="74"/>
        <v>9.4701778718652929E-2</v>
      </c>
      <c r="H351">
        <f t="shared" si="75"/>
        <v>7.1026334038989697E-2</v>
      </c>
      <c r="I351">
        <f t="shared" si="76"/>
        <v>4.7350889359326465E-2</v>
      </c>
      <c r="J351">
        <f t="shared" si="77"/>
        <v>2.3675444679663232E-2</v>
      </c>
      <c r="K351">
        <f t="shared" si="78"/>
        <v>0</v>
      </c>
      <c r="L351">
        <f t="shared" si="79"/>
        <v>-2.3675444679663232E-2</v>
      </c>
      <c r="M351">
        <f t="shared" si="80"/>
        <v>-4.7350889359326465E-2</v>
      </c>
      <c r="N351">
        <f t="shared" si="81"/>
        <v>-7.1026334038989697E-2</v>
      </c>
      <c r="O351">
        <f t="shared" si="82"/>
        <v>-9.4701778718652929E-2</v>
      </c>
      <c r="P351">
        <f t="shared" si="83"/>
        <v>-0.11837722339831616</v>
      </c>
    </row>
    <row r="352" spans="1:16" x14ac:dyDescent="0.3">
      <c r="A352" s="6">
        <v>46342</v>
      </c>
      <c r="B352" s="8">
        <f t="shared" si="70"/>
        <v>320</v>
      </c>
      <c r="C352" s="8">
        <f t="shared" si="71"/>
        <v>39</v>
      </c>
      <c r="D352" s="7">
        <f t="shared" si="72"/>
        <v>-0.10580582617584072</v>
      </c>
      <c r="F352">
        <f t="shared" si="73"/>
        <v>0.10580582617584072</v>
      </c>
      <c r="G352">
        <f t="shared" si="74"/>
        <v>8.4644660940672578E-2</v>
      </c>
      <c r="H352">
        <f t="shared" si="75"/>
        <v>6.3483495705504434E-2</v>
      </c>
      <c r="I352">
        <f t="shared" si="76"/>
        <v>4.2322330470336289E-2</v>
      </c>
      <c r="J352">
        <f t="shared" si="77"/>
        <v>2.1161165235168145E-2</v>
      </c>
      <c r="K352">
        <f t="shared" si="78"/>
        <v>0</v>
      </c>
      <c r="L352">
        <f t="shared" si="79"/>
        <v>-2.1161165235168145E-2</v>
      </c>
      <c r="M352">
        <f t="shared" si="80"/>
        <v>-4.2322330470336289E-2</v>
      </c>
      <c r="N352">
        <f t="shared" si="81"/>
        <v>-6.3483495705504434E-2</v>
      </c>
      <c r="O352">
        <f t="shared" si="82"/>
        <v>-8.4644660940672578E-2</v>
      </c>
      <c r="P352">
        <f t="shared" si="83"/>
        <v>-0.10580582617584072</v>
      </c>
    </row>
    <row r="353" spans="1:16" x14ac:dyDescent="0.3">
      <c r="A353" s="6">
        <v>46343</v>
      </c>
      <c r="B353" s="8">
        <f t="shared" si="70"/>
        <v>321</v>
      </c>
      <c r="C353" s="8">
        <f t="shared" si="71"/>
        <v>38</v>
      </c>
      <c r="D353" s="7">
        <f t="shared" si="72"/>
        <v>-9.1905249806888661E-2</v>
      </c>
      <c r="F353">
        <f t="shared" si="73"/>
        <v>9.1905249806888661E-2</v>
      </c>
      <c r="G353">
        <f t="shared" si="74"/>
        <v>7.3524199845510937E-2</v>
      </c>
      <c r="H353">
        <f t="shared" si="75"/>
        <v>5.5143149884133193E-2</v>
      </c>
      <c r="I353">
        <f t="shared" si="76"/>
        <v>3.6762099922755469E-2</v>
      </c>
      <c r="J353">
        <f t="shared" si="77"/>
        <v>1.8381049961377734E-2</v>
      </c>
      <c r="K353">
        <f t="shared" si="78"/>
        <v>0</v>
      </c>
      <c r="L353">
        <f t="shared" si="79"/>
        <v>-1.8381049961377734E-2</v>
      </c>
      <c r="M353">
        <f t="shared" si="80"/>
        <v>-3.6762099922755469E-2</v>
      </c>
      <c r="N353">
        <f t="shared" si="81"/>
        <v>-5.5143149884133193E-2</v>
      </c>
      <c r="O353">
        <f t="shared" si="82"/>
        <v>-7.3524199845510937E-2</v>
      </c>
      <c r="P353">
        <f t="shared" si="83"/>
        <v>-9.1905249806888661E-2</v>
      </c>
    </row>
    <row r="354" spans="1:16" x14ac:dyDescent="0.3">
      <c r="A354" s="6">
        <v>46344</v>
      </c>
      <c r="B354" s="8">
        <f t="shared" si="70"/>
        <v>322</v>
      </c>
      <c r="C354" s="8">
        <f t="shared" si="71"/>
        <v>37</v>
      </c>
      <c r="D354" s="7">
        <f t="shared" si="72"/>
        <v>-7.679224767826838E-2</v>
      </c>
      <c r="F354">
        <f t="shared" si="73"/>
        <v>7.679224767826838E-2</v>
      </c>
      <c r="G354">
        <f t="shared" si="74"/>
        <v>6.143379814261471E-2</v>
      </c>
      <c r="H354">
        <f t="shared" si="75"/>
        <v>4.6075348606961025E-2</v>
      </c>
      <c r="I354">
        <f t="shared" si="76"/>
        <v>3.0716899071307355E-2</v>
      </c>
      <c r="J354">
        <f t="shared" si="77"/>
        <v>1.5358449535653677E-2</v>
      </c>
      <c r="K354">
        <f t="shared" si="78"/>
        <v>0</v>
      </c>
      <c r="L354">
        <f t="shared" si="79"/>
        <v>-1.5358449535653677E-2</v>
      </c>
      <c r="M354">
        <f t="shared" si="80"/>
        <v>-3.0716899071307355E-2</v>
      </c>
      <c r="N354">
        <f t="shared" si="81"/>
        <v>-4.6075348606961025E-2</v>
      </c>
      <c r="O354">
        <f t="shared" si="82"/>
        <v>-6.143379814261471E-2</v>
      </c>
      <c r="P354">
        <f t="shared" si="83"/>
        <v>-7.679224767826838E-2</v>
      </c>
    </row>
    <row r="355" spans="1:16" x14ac:dyDescent="0.3">
      <c r="A355" s="6">
        <v>46345</v>
      </c>
      <c r="B355" s="8">
        <f t="shared" si="70"/>
        <v>323</v>
      </c>
      <c r="C355" s="8">
        <f t="shared" si="71"/>
        <v>36</v>
      </c>
      <c r="D355" s="7">
        <f t="shared" si="72"/>
        <v>-6.0557280900008378E-2</v>
      </c>
      <c r="F355">
        <f t="shared" si="73"/>
        <v>6.0557280900008378E-2</v>
      </c>
      <c r="G355">
        <f t="shared" si="74"/>
        <v>4.8445824720006705E-2</v>
      </c>
      <c r="H355">
        <f t="shared" si="75"/>
        <v>3.6334368540005026E-2</v>
      </c>
      <c r="I355">
        <f t="shared" si="76"/>
        <v>2.4222912360003353E-2</v>
      </c>
      <c r="J355">
        <f t="shared" si="77"/>
        <v>1.2111456180001676E-2</v>
      </c>
      <c r="K355">
        <f t="shared" si="78"/>
        <v>0</v>
      </c>
      <c r="L355">
        <f t="shared" si="79"/>
        <v>-1.2111456180001676E-2</v>
      </c>
      <c r="M355">
        <f t="shared" si="80"/>
        <v>-2.4222912360003353E-2</v>
      </c>
      <c r="N355">
        <f t="shared" si="81"/>
        <v>-3.6334368540005026E-2</v>
      </c>
      <c r="O355">
        <f t="shared" si="82"/>
        <v>-4.8445824720006705E-2</v>
      </c>
      <c r="P355">
        <f t="shared" si="83"/>
        <v>-6.0557280900008378E-2</v>
      </c>
    </row>
    <row r="356" spans="1:16" x14ac:dyDescent="0.3">
      <c r="A356" s="6">
        <v>46346</v>
      </c>
      <c r="B356" s="8">
        <f t="shared" si="70"/>
        <v>324</v>
      </c>
      <c r="C356" s="8">
        <f t="shared" si="71"/>
        <v>35</v>
      </c>
      <c r="D356" s="7">
        <f t="shared" si="72"/>
        <v>-4.3273128969317107E-2</v>
      </c>
      <c r="F356">
        <f t="shared" si="73"/>
        <v>4.3273128969317107E-2</v>
      </c>
      <c r="G356">
        <f t="shared" si="74"/>
        <v>3.4618503175453688E-2</v>
      </c>
      <c r="H356">
        <f t="shared" si="75"/>
        <v>2.5963877381590263E-2</v>
      </c>
      <c r="I356">
        <f t="shared" si="76"/>
        <v>1.7309251587726844E-2</v>
      </c>
      <c r="J356">
        <f t="shared" si="77"/>
        <v>8.654625793863422E-3</v>
      </c>
      <c r="K356">
        <f t="shared" si="78"/>
        <v>0</v>
      </c>
      <c r="L356">
        <f t="shared" si="79"/>
        <v>-8.654625793863422E-3</v>
      </c>
      <c r="M356">
        <f t="shared" si="80"/>
        <v>-1.7309251587726844E-2</v>
      </c>
      <c r="N356">
        <f t="shared" si="81"/>
        <v>-2.5963877381590263E-2</v>
      </c>
      <c r="O356">
        <f t="shared" si="82"/>
        <v>-3.4618503175453688E-2</v>
      </c>
      <c r="P356">
        <f t="shared" si="83"/>
        <v>-4.3273128969317107E-2</v>
      </c>
    </row>
    <row r="357" spans="1:16" x14ac:dyDescent="0.3">
      <c r="A357" s="6">
        <v>46347</v>
      </c>
      <c r="B357" s="8">
        <f t="shared" si="70"/>
        <v>325</v>
      </c>
      <c r="C357" s="8">
        <f t="shared" si="71"/>
        <v>34</v>
      </c>
      <c r="D357" s="7">
        <f t="shared" si="72"/>
        <v>-2.4999999999999911E-2</v>
      </c>
      <c r="F357">
        <f t="shared" si="73"/>
        <v>2.4999999999999911E-2</v>
      </c>
      <c r="G357">
        <f t="shared" si="74"/>
        <v>1.9999999999999931E-2</v>
      </c>
      <c r="H357">
        <f t="shared" si="75"/>
        <v>1.4999999999999946E-2</v>
      </c>
      <c r="I357">
        <f t="shared" si="76"/>
        <v>9.9999999999999655E-3</v>
      </c>
      <c r="J357">
        <f t="shared" si="77"/>
        <v>4.9999999999999828E-3</v>
      </c>
      <c r="K357">
        <f t="shared" si="78"/>
        <v>0</v>
      </c>
      <c r="L357">
        <f t="shared" si="79"/>
        <v>-4.9999999999999828E-3</v>
      </c>
      <c r="M357">
        <f t="shared" si="80"/>
        <v>-9.9999999999999655E-3</v>
      </c>
      <c r="N357">
        <f t="shared" si="81"/>
        <v>-1.4999999999999946E-2</v>
      </c>
      <c r="O357">
        <f t="shared" si="82"/>
        <v>-1.9999999999999931E-2</v>
      </c>
      <c r="P357">
        <f t="shared" si="83"/>
        <v>-2.4999999999999911E-2</v>
      </c>
    </row>
    <row r="358" spans="1:16" x14ac:dyDescent="0.3">
      <c r="A358" s="6">
        <v>46348</v>
      </c>
      <c r="B358" s="8">
        <f t="shared" si="70"/>
        <v>326</v>
      </c>
      <c r="C358" s="8">
        <f t="shared" si="71"/>
        <v>33</v>
      </c>
      <c r="D358" s="7">
        <f t="shared" si="72"/>
        <v>-5.788783376604073E-3</v>
      </c>
      <c r="F358">
        <f t="shared" si="73"/>
        <v>5.788783376604073E-3</v>
      </c>
      <c r="G358">
        <f t="shared" si="74"/>
        <v>4.6310267012832588E-3</v>
      </c>
      <c r="H358">
        <f t="shared" si="75"/>
        <v>3.4732700259624437E-3</v>
      </c>
      <c r="I358">
        <f t="shared" si="76"/>
        <v>2.3155133506416294E-3</v>
      </c>
      <c r="J358">
        <f t="shared" si="77"/>
        <v>1.1577566753208147E-3</v>
      </c>
      <c r="K358">
        <f t="shared" si="78"/>
        <v>0</v>
      </c>
      <c r="L358">
        <f t="shared" si="79"/>
        <v>-1.1577566753208147E-3</v>
      </c>
      <c r="M358">
        <f t="shared" si="80"/>
        <v>-2.3155133506416294E-3</v>
      </c>
      <c r="N358">
        <f t="shared" si="81"/>
        <v>-3.4732700259624437E-3</v>
      </c>
      <c r="O358">
        <f t="shared" si="82"/>
        <v>-4.6310267012832588E-3</v>
      </c>
      <c r="P358">
        <f t="shared" si="83"/>
        <v>-5.788783376604073E-3</v>
      </c>
    </row>
    <row r="359" spans="1:16" x14ac:dyDescent="0.3">
      <c r="A359" s="6">
        <v>46349</v>
      </c>
      <c r="B359" s="8">
        <f t="shared" si="70"/>
        <v>327</v>
      </c>
      <c r="C359" s="8">
        <f t="shared" si="71"/>
        <v>32</v>
      </c>
      <c r="D359" s="7">
        <f t="shared" si="72"/>
        <v>1.4316767251549872E-2</v>
      </c>
      <c r="F359">
        <f t="shared" si="73"/>
        <v>-1.4316767251549872E-2</v>
      </c>
      <c r="G359">
        <f t="shared" si="74"/>
        <v>-1.1453413801239898E-2</v>
      </c>
      <c r="H359">
        <f t="shared" si="75"/>
        <v>-8.5900603509299223E-3</v>
      </c>
      <c r="I359">
        <f t="shared" si="76"/>
        <v>-5.7267069006199491E-3</v>
      </c>
      <c r="J359">
        <f t="shared" si="77"/>
        <v>-2.8633534503099745E-3</v>
      </c>
      <c r="K359">
        <f t="shared" si="78"/>
        <v>0</v>
      </c>
      <c r="L359">
        <f t="shared" si="79"/>
        <v>2.8633534503099745E-3</v>
      </c>
      <c r="M359">
        <f t="shared" si="80"/>
        <v>5.7267069006199491E-3</v>
      </c>
      <c r="N359">
        <f t="shared" si="81"/>
        <v>8.5900603509299223E-3</v>
      </c>
      <c r="O359">
        <f t="shared" si="82"/>
        <v>1.1453413801239898E-2</v>
      </c>
      <c r="P359">
        <f t="shared" si="83"/>
        <v>1.4316767251549872E-2</v>
      </c>
    </row>
    <row r="360" spans="1:16" x14ac:dyDescent="0.3">
      <c r="A360" s="6">
        <v>46350</v>
      </c>
      <c r="B360" s="8">
        <f t="shared" si="70"/>
        <v>328</v>
      </c>
      <c r="C360" s="8">
        <f t="shared" si="71"/>
        <v>31</v>
      </c>
      <c r="D360" s="7">
        <f t="shared" si="72"/>
        <v>3.5278506578610036E-2</v>
      </c>
      <c r="F360">
        <f t="shared" si="73"/>
        <v>-3.5278506578610036E-2</v>
      </c>
      <c r="G360">
        <f t="shared" si="74"/>
        <v>-2.8222805262888031E-2</v>
      </c>
      <c r="H360">
        <f t="shared" si="75"/>
        <v>-2.1167103947166022E-2</v>
      </c>
      <c r="I360">
        <f t="shared" si="76"/>
        <v>-1.4111402631444015E-2</v>
      </c>
      <c r="J360">
        <f t="shared" si="77"/>
        <v>-7.0557013157220077E-3</v>
      </c>
      <c r="K360">
        <f t="shared" si="78"/>
        <v>0</v>
      </c>
      <c r="L360">
        <f t="shared" si="79"/>
        <v>7.0557013157220077E-3</v>
      </c>
      <c r="M360">
        <f t="shared" si="80"/>
        <v>1.4111402631444015E-2</v>
      </c>
      <c r="N360">
        <f t="shared" si="81"/>
        <v>2.1167103947166022E-2</v>
      </c>
      <c r="O360">
        <f t="shared" si="82"/>
        <v>2.8222805262888031E-2</v>
      </c>
      <c r="P360">
        <f t="shared" si="83"/>
        <v>3.5278506578610036E-2</v>
      </c>
    </row>
    <row r="361" spans="1:16" x14ac:dyDescent="0.3">
      <c r="A361" s="6">
        <v>46351</v>
      </c>
      <c r="B361" s="8">
        <f t="shared" si="70"/>
        <v>329</v>
      </c>
      <c r="C361" s="8">
        <f t="shared" si="71"/>
        <v>30</v>
      </c>
      <c r="D361" s="7">
        <f t="shared" si="72"/>
        <v>5.7062792408486662E-2</v>
      </c>
      <c r="F361">
        <f t="shared" si="73"/>
        <v>-5.7062792408486662E-2</v>
      </c>
      <c r="G361">
        <f t="shared" si="74"/>
        <v>-4.5650233926789331E-2</v>
      </c>
      <c r="H361">
        <f t="shared" si="75"/>
        <v>-3.4237675445091993E-2</v>
      </c>
      <c r="I361">
        <f t="shared" si="76"/>
        <v>-2.2825116963394666E-2</v>
      </c>
      <c r="J361">
        <f t="shared" si="77"/>
        <v>-1.1412558481697333E-2</v>
      </c>
      <c r="K361">
        <f t="shared" si="78"/>
        <v>0</v>
      </c>
      <c r="L361">
        <f t="shared" si="79"/>
        <v>1.1412558481697333E-2</v>
      </c>
      <c r="M361">
        <f t="shared" si="80"/>
        <v>2.2825116963394666E-2</v>
      </c>
      <c r="N361">
        <f t="shared" si="81"/>
        <v>3.4237675445091993E-2</v>
      </c>
      <c r="O361">
        <f t="shared" si="82"/>
        <v>4.5650233926789331E-2</v>
      </c>
      <c r="P361">
        <f t="shared" si="83"/>
        <v>5.7062792408486662E-2</v>
      </c>
    </row>
    <row r="362" spans="1:16" x14ac:dyDescent="0.3">
      <c r="A362" s="6">
        <v>46352</v>
      </c>
      <c r="B362" s="8">
        <f t="shared" si="70"/>
        <v>330</v>
      </c>
      <c r="C362" s="8">
        <f t="shared" si="71"/>
        <v>29</v>
      </c>
      <c r="D362" s="7">
        <f t="shared" si="72"/>
        <v>7.9639663385923071E-2</v>
      </c>
      <c r="F362">
        <f t="shared" si="73"/>
        <v>-7.9639663385923071E-2</v>
      </c>
      <c r="G362">
        <f t="shared" si="74"/>
        <v>-6.3711730708738465E-2</v>
      </c>
      <c r="H362">
        <f t="shared" si="75"/>
        <v>-4.7783798031553838E-2</v>
      </c>
      <c r="I362">
        <f t="shared" si="76"/>
        <v>-3.1855865354369232E-2</v>
      </c>
      <c r="J362">
        <f t="shared" si="77"/>
        <v>-1.5927932677184616E-2</v>
      </c>
      <c r="K362">
        <f t="shared" si="78"/>
        <v>0</v>
      </c>
      <c r="L362">
        <f t="shared" si="79"/>
        <v>1.5927932677184616E-2</v>
      </c>
      <c r="M362">
        <f t="shared" si="80"/>
        <v>3.1855865354369232E-2</v>
      </c>
      <c r="N362">
        <f t="shared" si="81"/>
        <v>4.7783798031553838E-2</v>
      </c>
      <c r="O362">
        <f t="shared" si="82"/>
        <v>6.3711730708738465E-2</v>
      </c>
      <c r="P362">
        <f t="shared" si="83"/>
        <v>7.9639663385923071E-2</v>
      </c>
    </row>
    <row r="363" spans="1:16" x14ac:dyDescent="0.3">
      <c r="A363" s="6">
        <v>46353</v>
      </c>
      <c r="B363" s="8">
        <f t="shared" si="70"/>
        <v>331</v>
      </c>
      <c r="C363" s="8">
        <f t="shared" si="71"/>
        <v>28</v>
      </c>
      <c r="D363" s="7">
        <f t="shared" si="72"/>
        <v>0.10298221281347045</v>
      </c>
      <c r="F363">
        <f t="shared" si="73"/>
        <v>-0.10298221281347045</v>
      </c>
      <c r="G363">
        <f t="shared" si="74"/>
        <v>-8.2385770250776369E-2</v>
      </c>
      <c r="H363">
        <f t="shared" si="75"/>
        <v>-6.1789327688082263E-2</v>
      </c>
      <c r="I363">
        <f t="shared" si="76"/>
        <v>-4.1192885125388184E-2</v>
      </c>
      <c r="J363">
        <f t="shared" si="77"/>
        <v>-2.0596442562694092E-2</v>
      </c>
      <c r="K363">
        <f t="shared" si="78"/>
        <v>0</v>
      </c>
      <c r="L363">
        <f t="shared" si="79"/>
        <v>2.0596442562694092E-2</v>
      </c>
      <c r="M363">
        <f t="shared" si="80"/>
        <v>4.1192885125388184E-2</v>
      </c>
      <c r="N363">
        <f t="shared" si="81"/>
        <v>6.1789327688082263E-2</v>
      </c>
      <c r="O363">
        <f t="shared" si="82"/>
        <v>8.2385770250776369E-2</v>
      </c>
      <c r="P363">
        <f t="shared" si="83"/>
        <v>0.10298221281347045</v>
      </c>
    </row>
    <row r="364" spans="1:16" x14ac:dyDescent="0.3">
      <c r="A364" s="6">
        <v>46354</v>
      </c>
      <c r="B364" s="8">
        <f t="shared" si="70"/>
        <v>332</v>
      </c>
      <c r="C364" s="8">
        <f t="shared" si="71"/>
        <v>27</v>
      </c>
      <c r="D364" s="7">
        <f t="shared" si="72"/>
        <v>0.12706610222111261</v>
      </c>
      <c r="F364">
        <f t="shared" si="73"/>
        <v>-0.12706610222111261</v>
      </c>
      <c r="G364">
        <f t="shared" si="74"/>
        <v>-0.10165288177689009</v>
      </c>
      <c r="H364">
        <f t="shared" si="75"/>
        <v>-7.623966133266756E-2</v>
      </c>
      <c r="I364">
        <f t="shared" si="76"/>
        <v>-5.0826440888445047E-2</v>
      </c>
      <c r="J364">
        <f t="shared" si="77"/>
        <v>-2.5413220444222524E-2</v>
      </c>
      <c r="K364">
        <f t="shared" si="78"/>
        <v>0</v>
      </c>
      <c r="L364">
        <f t="shared" si="79"/>
        <v>2.5413220444222524E-2</v>
      </c>
      <c r="M364">
        <f t="shared" si="80"/>
        <v>5.0826440888445047E-2</v>
      </c>
      <c r="N364">
        <f t="shared" si="81"/>
        <v>7.623966133266756E-2</v>
      </c>
      <c r="O364">
        <f t="shared" si="82"/>
        <v>0.10165288177689009</v>
      </c>
      <c r="P364">
        <f t="shared" si="83"/>
        <v>0.12706610222111261</v>
      </c>
    </row>
    <row r="365" spans="1:16" x14ac:dyDescent="0.3">
      <c r="A365" s="6">
        <v>46355</v>
      </c>
      <c r="B365" s="8">
        <f t="shared" si="70"/>
        <v>333</v>
      </c>
      <c r="C365" s="8">
        <f t="shared" si="71"/>
        <v>26</v>
      </c>
      <c r="D365" s="7">
        <f t="shared" si="72"/>
        <v>0.15186917696247162</v>
      </c>
      <c r="F365">
        <f t="shared" si="73"/>
        <v>-0.15186917696247162</v>
      </c>
      <c r="G365">
        <f t="shared" si="74"/>
        <v>-0.12149534156997731</v>
      </c>
      <c r="H365">
        <f t="shared" si="75"/>
        <v>-9.1121506177482978E-2</v>
      </c>
      <c r="I365">
        <f t="shared" si="76"/>
        <v>-6.0747670784988654E-2</v>
      </c>
      <c r="J365">
        <f t="shared" si="77"/>
        <v>-3.0373835392494327E-2</v>
      </c>
      <c r="K365">
        <f t="shared" si="78"/>
        <v>0</v>
      </c>
      <c r="L365">
        <f t="shared" si="79"/>
        <v>3.0373835392494327E-2</v>
      </c>
      <c r="M365">
        <f t="shared" si="80"/>
        <v>6.0747670784988654E-2</v>
      </c>
      <c r="N365">
        <f t="shared" si="81"/>
        <v>9.1121506177482978E-2</v>
      </c>
      <c r="O365">
        <f t="shared" si="82"/>
        <v>0.12149534156997731</v>
      </c>
      <c r="P365">
        <f t="shared" si="83"/>
        <v>0.15186917696247162</v>
      </c>
    </row>
    <row r="366" spans="1:16" x14ac:dyDescent="0.3">
      <c r="A366" s="6">
        <v>46356</v>
      </c>
      <c r="B366" s="8">
        <f t="shared" si="70"/>
        <v>334</v>
      </c>
      <c r="C366" s="8">
        <f t="shared" si="71"/>
        <v>25</v>
      </c>
      <c r="D366" s="7">
        <f t="shared" si="72"/>
        <v>0.17737115786214283</v>
      </c>
      <c r="F366">
        <f t="shared" si="73"/>
        <v>-0.17737115786214283</v>
      </c>
      <c r="G366">
        <f t="shared" si="74"/>
        <v>-0.14189692628971426</v>
      </c>
      <c r="H366">
        <f t="shared" si="75"/>
        <v>-0.1064226947172857</v>
      </c>
      <c r="I366">
        <f t="shared" si="76"/>
        <v>-7.094846314485713E-2</v>
      </c>
      <c r="J366">
        <f t="shared" si="77"/>
        <v>-3.5474231572428565E-2</v>
      </c>
      <c r="K366">
        <f t="shared" si="78"/>
        <v>0</v>
      </c>
      <c r="L366">
        <f t="shared" si="79"/>
        <v>3.5474231572428565E-2</v>
      </c>
      <c r="M366">
        <f t="shared" si="80"/>
        <v>7.094846314485713E-2</v>
      </c>
      <c r="N366">
        <f t="shared" si="81"/>
        <v>0.1064226947172857</v>
      </c>
      <c r="O366">
        <f t="shared" si="82"/>
        <v>0.14189692628971426</v>
      </c>
      <c r="P366">
        <f t="shared" si="83"/>
        <v>0.17737115786214283</v>
      </c>
    </row>
    <row r="367" spans="1:16" x14ac:dyDescent="0.3">
      <c r="A367" s="6">
        <v>46357</v>
      </c>
      <c r="B367" s="8">
        <f t="shared" si="70"/>
        <v>335</v>
      </c>
      <c r="C367" s="8">
        <f t="shared" si="71"/>
        <v>24</v>
      </c>
      <c r="D367" s="7">
        <f t="shared" si="72"/>
        <v>0.2035533905932739</v>
      </c>
      <c r="F367">
        <f t="shared" ref="F367:F430" si="84">(-10/10) * D367</f>
        <v>-0.2035533905932739</v>
      </c>
      <c r="G367">
        <f t="shared" si="74"/>
        <v>-0.16284271247461912</v>
      </c>
      <c r="H367">
        <f t="shared" si="75"/>
        <v>-0.12213203435596434</v>
      </c>
      <c r="I367">
        <f t="shared" si="76"/>
        <v>-8.1421356237309561E-2</v>
      </c>
      <c r="J367">
        <f t="shared" si="77"/>
        <v>-4.0710678118654781E-2</v>
      </c>
      <c r="K367">
        <f t="shared" si="78"/>
        <v>0</v>
      </c>
      <c r="L367">
        <f t="shared" si="79"/>
        <v>4.0710678118654781E-2</v>
      </c>
      <c r="M367">
        <f t="shared" si="80"/>
        <v>8.1421356237309561E-2</v>
      </c>
      <c r="N367">
        <f t="shared" si="81"/>
        <v>0.12213203435596434</v>
      </c>
      <c r="O367">
        <f t="shared" si="82"/>
        <v>0.16284271247461912</v>
      </c>
      <c r="P367">
        <f t="shared" si="83"/>
        <v>0.2035533905932739</v>
      </c>
    </row>
    <row r="368" spans="1:16" x14ac:dyDescent="0.3">
      <c r="A368" s="6">
        <v>46358</v>
      </c>
      <c r="B368" s="8">
        <f t="shared" si="70"/>
        <v>336</v>
      </c>
      <c r="C368" s="8">
        <f t="shared" si="71"/>
        <v>23</v>
      </c>
      <c r="D368" s="7">
        <f t="shared" si="72"/>
        <v>0.23039863958747295</v>
      </c>
      <c r="F368">
        <f t="shared" si="84"/>
        <v>-0.23039863958747295</v>
      </c>
      <c r="G368">
        <f t="shared" si="74"/>
        <v>-0.18431891166997838</v>
      </c>
      <c r="H368">
        <f t="shared" si="75"/>
        <v>-0.13823918375248376</v>
      </c>
      <c r="I368">
        <f t="shared" si="76"/>
        <v>-9.215945583498919E-2</v>
      </c>
      <c r="J368">
        <f t="shared" si="77"/>
        <v>-4.6079727917494595E-2</v>
      </c>
      <c r="K368">
        <f t="shared" si="78"/>
        <v>0</v>
      </c>
      <c r="L368">
        <f t="shared" si="79"/>
        <v>4.6079727917494595E-2</v>
      </c>
      <c r="M368">
        <f t="shared" si="80"/>
        <v>9.215945583498919E-2</v>
      </c>
      <c r="N368">
        <f t="shared" si="81"/>
        <v>0.13823918375248376</v>
      </c>
      <c r="O368">
        <f t="shared" si="82"/>
        <v>0.18431891166997838</v>
      </c>
      <c r="P368">
        <f t="shared" si="83"/>
        <v>0.23039863958747295</v>
      </c>
    </row>
    <row r="369" spans="1:16" x14ac:dyDescent="0.3">
      <c r="A369" s="6">
        <v>46359</v>
      </c>
      <c r="B369" s="8">
        <f t="shared" si="70"/>
        <v>337</v>
      </c>
      <c r="C369" s="8">
        <f t="shared" si="71"/>
        <v>22</v>
      </c>
      <c r="D369" s="7">
        <f t="shared" si="72"/>
        <v>0.25789091679026155</v>
      </c>
      <c r="F369">
        <f t="shared" si="84"/>
        <v>-0.25789091679026155</v>
      </c>
      <c r="G369">
        <f t="shared" si="74"/>
        <v>-0.20631273343220924</v>
      </c>
      <c r="H369">
        <f t="shared" si="75"/>
        <v>-0.15473455007415693</v>
      </c>
      <c r="I369">
        <f t="shared" si="76"/>
        <v>-0.10315636671610462</v>
      </c>
      <c r="J369">
        <f t="shared" si="77"/>
        <v>-5.157818335805231E-2</v>
      </c>
      <c r="K369">
        <f t="shared" si="78"/>
        <v>0</v>
      </c>
      <c r="L369">
        <f t="shared" si="79"/>
        <v>5.157818335805231E-2</v>
      </c>
      <c r="M369">
        <f t="shared" si="80"/>
        <v>0.10315636671610462</v>
      </c>
      <c r="N369">
        <f t="shared" si="81"/>
        <v>0.15473455007415693</v>
      </c>
      <c r="O369">
        <f t="shared" si="82"/>
        <v>0.20631273343220924</v>
      </c>
      <c r="P369">
        <f t="shared" si="83"/>
        <v>0.25789091679026155</v>
      </c>
    </row>
    <row r="370" spans="1:16" x14ac:dyDescent="0.3">
      <c r="A370" s="6">
        <v>46360</v>
      </c>
      <c r="B370" s="8">
        <f t="shared" si="70"/>
        <v>338</v>
      </c>
      <c r="C370" s="8">
        <f t="shared" si="71"/>
        <v>21</v>
      </c>
      <c r="D370" s="7">
        <f t="shared" si="72"/>
        <v>0.28601533803296431</v>
      </c>
      <c r="F370">
        <f t="shared" si="84"/>
        <v>-0.28601533803296431</v>
      </c>
      <c r="G370">
        <f t="shared" si="74"/>
        <v>-0.22881227042637145</v>
      </c>
      <c r="H370">
        <f t="shared" si="75"/>
        <v>-0.17160920281977857</v>
      </c>
      <c r="I370">
        <f t="shared" si="76"/>
        <v>-0.11440613521318573</v>
      </c>
      <c r="J370">
        <f t="shared" si="77"/>
        <v>-5.7203067606592863E-2</v>
      </c>
      <c r="K370">
        <f t="shared" si="78"/>
        <v>0</v>
      </c>
      <c r="L370">
        <f t="shared" si="79"/>
        <v>5.7203067606592863E-2</v>
      </c>
      <c r="M370">
        <f t="shared" si="80"/>
        <v>0.11440613521318573</v>
      </c>
      <c r="N370">
        <f t="shared" si="81"/>
        <v>0.17160920281977857</v>
      </c>
      <c r="O370">
        <f t="shared" si="82"/>
        <v>0.22881227042637145</v>
      </c>
      <c r="P370">
        <f t="shared" si="83"/>
        <v>0.28601533803296431</v>
      </c>
    </row>
    <row r="371" spans="1:16" x14ac:dyDescent="0.3">
      <c r="A371" s="6">
        <v>46361</v>
      </c>
      <c r="B371" s="8">
        <f t="shared" si="70"/>
        <v>339</v>
      </c>
      <c r="C371" s="8">
        <f t="shared" si="71"/>
        <v>20</v>
      </c>
      <c r="D371" s="7">
        <f t="shared" si="72"/>
        <v>0.3147580015448902</v>
      </c>
      <c r="F371">
        <f t="shared" si="84"/>
        <v>-0.3147580015448902</v>
      </c>
      <c r="G371">
        <f t="shared" si="74"/>
        <v>-0.25180640123591219</v>
      </c>
      <c r="H371">
        <f t="shared" si="75"/>
        <v>-0.1888548009269341</v>
      </c>
      <c r="I371">
        <f t="shared" si="76"/>
        <v>-0.1259032006179561</v>
      </c>
      <c r="J371">
        <f t="shared" si="77"/>
        <v>-6.2951600308978048E-2</v>
      </c>
      <c r="K371">
        <f t="shared" si="78"/>
        <v>0</v>
      </c>
      <c r="L371">
        <f t="shared" si="79"/>
        <v>6.2951600308978048E-2</v>
      </c>
      <c r="M371">
        <f t="shared" si="80"/>
        <v>0.1259032006179561</v>
      </c>
      <c r="N371">
        <f t="shared" si="81"/>
        <v>0.1888548009269341</v>
      </c>
      <c r="O371">
        <f t="shared" si="82"/>
        <v>0.25180640123591219</v>
      </c>
      <c r="P371">
        <f t="shared" si="83"/>
        <v>0.3147580015448902</v>
      </c>
    </row>
    <row r="372" spans="1:16" x14ac:dyDescent="0.3">
      <c r="A372" s="6">
        <v>46362</v>
      </c>
      <c r="B372" s="8">
        <f t="shared" si="70"/>
        <v>340</v>
      </c>
      <c r="C372" s="8">
        <f t="shared" si="71"/>
        <v>19</v>
      </c>
      <c r="D372" s="7">
        <f t="shared" si="72"/>
        <v>0.3441058844013094</v>
      </c>
      <c r="F372">
        <f t="shared" si="84"/>
        <v>-0.3441058844013094</v>
      </c>
      <c r="G372">
        <f t="shared" si="74"/>
        <v>-0.27528470752104756</v>
      </c>
      <c r="H372">
        <f t="shared" si="75"/>
        <v>-0.20646353064078563</v>
      </c>
      <c r="I372">
        <f t="shared" si="76"/>
        <v>-0.13764235376052378</v>
      </c>
      <c r="J372">
        <f t="shared" si="77"/>
        <v>-6.8821176880261889E-2</v>
      </c>
      <c r="K372">
        <f t="shared" si="78"/>
        <v>0</v>
      </c>
      <c r="L372">
        <f t="shared" si="79"/>
        <v>6.8821176880261889E-2</v>
      </c>
      <c r="M372">
        <f t="shared" si="80"/>
        <v>0.13764235376052378</v>
      </c>
      <c r="N372">
        <f t="shared" si="81"/>
        <v>0.20646353064078563</v>
      </c>
      <c r="O372">
        <f t="shared" si="82"/>
        <v>0.27528470752104756</v>
      </c>
      <c r="P372">
        <f t="shared" si="83"/>
        <v>0.3441058844013094</v>
      </c>
    </row>
    <row r="373" spans="1:16" x14ac:dyDescent="0.3">
      <c r="A373" s="6">
        <v>46363</v>
      </c>
      <c r="B373" s="8">
        <f t="shared" si="70"/>
        <v>341</v>
      </c>
      <c r="C373" s="8">
        <f t="shared" si="71"/>
        <v>18</v>
      </c>
      <c r="D373" s="7">
        <f t="shared" si="72"/>
        <v>0.37404675363940587</v>
      </c>
      <c r="F373">
        <f t="shared" si="84"/>
        <v>-0.37404675363940587</v>
      </c>
      <c r="G373">
        <f t="shared" si="74"/>
        <v>-0.29923740291152473</v>
      </c>
      <c r="H373">
        <f t="shared" si="75"/>
        <v>-0.22442805218364351</v>
      </c>
      <c r="I373">
        <f t="shared" si="76"/>
        <v>-0.14961870145576237</v>
      </c>
      <c r="J373">
        <f t="shared" si="77"/>
        <v>-7.4809350727881183E-2</v>
      </c>
      <c r="K373">
        <f t="shared" si="78"/>
        <v>0</v>
      </c>
      <c r="L373">
        <f t="shared" si="79"/>
        <v>7.4809350727881183E-2</v>
      </c>
      <c r="M373">
        <f t="shared" si="80"/>
        <v>0.14961870145576237</v>
      </c>
      <c r="N373">
        <f t="shared" si="81"/>
        <v>0.22442805218364351</v>
      </c>
      <c r="O373">
        <f t="shared" si="82"/>
        <v>0.29923740291152473</v>
      </c>
      <c r="P373">
        <f t="shared" si="83"/>
        <v>0.37404675363940587</v>
      </c>
    </row>
    <row r="374" spans="1:16" x14ac:dyDescent="0.3">
      <c r="A374" s="6">
        <v>46364</v>
      </c>
      <c r="B374" s="8">
        <f t="shared" si="70"/>
        <v>342</v>
      </c>
      <c r="C374" s="8">
        <f t="shared" si="71"/>
        <v>17</v>
      </c>
      <c r="D374" s="7">
        <f t="shared" si="72"/>
        <v>0.40456908947398074</v>
      </c>
      <c r="F374">
        <f t="shared" si="84"/>
        <v>-0.40456908947398074</v>
      </c>
      <c r="G374">
        <f t="shared" si="74"/>
        <v>-0.32365527157918461</v>
      </c>
      <c r="H374">
        <f t="shared" si="75"/>
        <v>-0.24274145368438843</v>
      </c>
      <c r="I374">
        <f t="shared" si="76"/>
        <v>-0.16182763578959231</v>
      </c>
      <c r="J374">
        <f t="shared" si="77"/>
        <v>-8.0913817894796153E-2</v>
      </c>
      <c r="K374">
        <f t="shared" si="78"/>
        <v>0</v>
      </c>
      <c r="L374">
        <f t="shared" si="79"/>
        <v>8.0913817894796153E-2</v>
      </c>
      <c r="M374">
        <f t="shared" si="80"/>
        <v>0.16182763578959231</v>
      </c>
      <c r="N374">
        <f t="shared" si="81"/>
        <v>0.24274145368438843</v>
      </c>
      <c r="O374">
        <f t="shared" si="82"/>
        <v>0.32365527157918461</v>
      </c>
      <c r="P374">
        <f t="shared" si="83"/>
        <v>0.40456908947398074</v>
      </c>
    </row>
    <row r="375" spans="1:16" x14ac:dyDescent="0.3">
      <c r="A375" s="6">
        <v>46365</v>
      </c>
      <c r="B375" s="8">
        <f t="shared" si="70"/>
        <v>343</v>
      </c>
      <c r="C375" s="8">
        <f t="shared" si="71"/>
        <v>16</v>
      </c>
      <c r="D375" s="7">
        <f t="shared" si="72"/>
        <v>0.43566201857385289</v>
      </c>
      <c r="F375">
        <f t="shared" si="84"/>
        <v>-0.43566201857385289</v>
      </c>
      <c r="G375">
        <f t="shared" si="74"/>
        <v>-0.34852961485908235</v>
      </c>
      <c r="H375">
        <f t="shared" si="75"/>
        <v>-0.26139721114431175</v>
      </c>
      <c r="I375">
        <f t="shared" si="76"/>
        <v>-0.17426480742954117</v>
      </c>
      <c r="J375">
        <f t="shared" si="77"/>
        <v>-8.7132403714770587E-2</v>
      </c>
      <c r="K375">
        <f t="shared" si="78"/>
        <v>0</v>
      </c>
      <c r="L375">
        <f t="shared" si="79"/>
        <v>8.7132403714770587E-2</v>
      </c>
      <c r="M375">
        <f t="shared" si="80"/>
        <v>0.17426480742954117</v>
      </c>
      <c r="N375">
        <f t="shared" si="81"/>
        <v>0.26139721114431175</v>
      </c>
      <c r="O375">
        <f t="shared" si="82"/>
        <v>0.34852961485908235</v>
      </c>
      <c r="P375">
        <f t="shared" si="83"/>
        <v>0.43566201857385289</v>
      </c>
    </row>
    <row r="376" spans="1:16" x14ac:dyDescent="0.3">
      <c r="A376" s="6">
        <v>46366</v>
      </c>
      <c r="B376" s="8">
        <f t="shared" si="70"/>
        <v>344</v>
      </c>
      <c r="C376" s="8">
        <f t="shared" si="71"/>
        <v>15</v>
      </c>
      <c r="D376" s="7">
        <f t="shared" si="72"/>
        <v>0.46731525576483213</v>
      </c>
      <c r="F376">
        <f t="shared" si="84"/>
        <v>-0.46731525576483213</v>
      </c>
      <c r="G376">
        <f t="shared" si="74"/>
        <v>-0.37385220461186575</v>
      </c>
      <c r="H376">
        <f t="shared" si="75"/>
        <v>-0.28038915345889925</v>
      </c>
      <c r="I376">
        <f t="shared" si="76"/>
        <v>-0.18692610230593287</v>
      </c>
      <c r="J376">
        <f t="shared" si="77"/>
        <v>-9.3463051152966437E-2</v>
      </c>
      <c r="K376">
        <f t="shared" si="78"/>
        <v>0</v>
      </c>
      <c r="L376">
        <f t="shared" si="79"/>
        <v>9.3463051152966437E-2</v>
      </c>
      <c r="M376">
        <f t="shared" si="80"/>
        <v>0.18692610230593287</v>
      </c>
      <c r="N376">
        <f t="shared" si="81"/>
        <v>0.28038915345889925</v>
      </c>
      <c r="O376">
        <f t="shared" si="82"/>
        <v>0.37385220461186575</v>
      </c>
      <c r="P376">
        <f t="shared" si="83"/>
        <v>0.46731525576483213</v>
      </c>
    </row>
    <row r="377" spans="1:16" x14ac:dyDescent="0.3">
      <c r="A377" s="6">
        <v>46367</v>
      </c>
      <c r="B377" s="8">
        <f t="shared" si="70"/>
        <v>345</v>
      </c>
      <c r="C377" s="8">
        <f t="shared" si="71"/>
        <v>14</v>
      </c>
      <c r="D377" s="7">
        <f t="shared" si="72"/>
        <v>0.49951905283832909</v>
      </c>
      <c r="F377">
        <f t="shared" si="84"/>
        <v>-0.49951905283832909</v>
      </c>
      <c r="G377">
        <f t="shared" si="74"/>
        <v>-0.39961524227066331</v>
      </c>
      <c r="H377">
        <f t="shared" si="75"/>
        <v>-0.29971143170299747</v>
      </c>
      <c r="I377">
        <f t="shared" si="76"/>
        <v>-0.19980762113533165</v>
      </c>
      <c r="J377">
        <f t="shared" si="77"/>
        <v>-9.9903810567665827E-2</v>
      </c>
      <c r="K377">
        <f t="shared" si="78"/>
        <v>0</v>
      </c>
      <c r="L377">
        <f t="shared" si="79"/>
        <v>9.9903810567665827E-2</v>
      </c>
      <c r="M377">
        <f t="shared" si="80"/>
        <v>0.19980762113533165</v>
      </c>
      <c r="N377">
        <f t="shared" si="81"/>
        <v>0.29971143170299747</v>
      </c>
      <c r="O377">
        <f t="shared" si="82"/>
        <v>0.39961524227066331</v>
      </c>
      <c r="P377">
        <f t="shared" si="83"/>
        <v>0.49951905283832909</v>
      </c>
    </row>
    <row r="378" spans="1:16" x14ac:dyDescent="0.3">
      <c r="A378" s="6">
        <v>46368</v>
      </c>
      <c r="B378" s="8">
        <f t="shared" si="70"/>
        <v>346</v>
      </c>
      <c r="C378" s="8">
        <f t="shared" si="71"/>
        <v>13</v>
      </c>
      <c r="D378" s="7">
        <f t="shared" si="72"/>
        <v>0.53226415338928679</v>
      </c>
      <c r="F378">
        <f t="shared" si="84"/>
        <v>-0.53226415338928679</v>
      </c>
      <c r="G378">
        <f t="shared" si="74"/>
        <v>-0.42581132271142946</v>
      </c>
      <c r="H378">
        <f t="shared" si="75"/>
        <v>-0.31935849203357208</v>
      </c>
      <c r="I378">
        <f t="shared" si="76"/>
        <v>-0.21290566135571473</v>
      </c>
      <c r="J378">
        <f t="shared" si="77"/>
        <v>-0.10645283067785737</v>
      </c>
      <c r="K378">
        <f t="shared" si="78"/>
        <v>0</v>
      </c>
      <c r="L378">
        <f t="shared" si="79"/>
        <v>0.10645283067785737</v>
      </c>
      <c r="M378">
        <f t="shared" si="80"/>
        <v>0.21290566135571473</v>
      </c>
      <c r="N378">
        <f t="shared" si="81"/>
        <v>0.31935849203357208</v>
      </c>
      <c r="O378">
        <f t="shared" si="82"/>
        <v>0.42581132271142946</v>
      </c>
      <c r="P378">
        <f t="shared" si="83"/>
        <v>0.53226415338928679</v>
      </c>
    </row>
    <row r="379" spans="1:16" x14ac:dyDescent="0.3">
      <c r="A379" s="6">
        <v>46369</v>
      </c>
      <c r="B379" s="8">
        <f t="shared" si="70"/>
        <v>347</v>
      </c>
      <c r="C379" s="8">
        <f t="shared" si="71"/>
        <v>12</v>
      </c>
      <c r="D379" s="7">
        <f t="shared" si="72"/>
        <v>0.56554175279993268</v>
      </c>
      <c r="F379">
        <f t="shared" si="84"/>
        <v>-0.56554175279993268</v>
      </c>
      <c r="G379">
        <f t="shared" si="74"/>
        <v>-0.45243340223994616</v>
      </c>
      <c r="H379">
        <f t="shared" si="75"/>
        <v>-0.33932505167995958</v>
      </c>
      <c r="I379">
        <f t="shared" si="76"/>
        <v>-0.22621670111997308</v>
      </c>
      <c r="J379">
        <f t="shared" si="77"/>
        <v>-0.11310835055998654</v>
      </c>
      <c r="K379">
        <f t="shared" si="78"/>
        <v>0</v>
      </c>
      <c r="L379">
        <f t="shared" si="79"/>
        <v>0.11310835055998654</v>
      </c>
      <c r="M379">
        <f t="shared" si="80"/>
        <v>0.22621670111997308</v>
      </c>
      <c r="N379">
        <f t="shared" si="81"/>
        <v>0.33932505167995958</v>
      </c>
      <c r="O379">
        <f t="shared" si="82"/>
        <v>0.45243340223994616</v>
      </c>
      <c r="P379">
        <f t="shared" si="83"/>
        <v>0.56554175279993268</v>
      </c>
    </row>
    <row r="380" spans="1:16" x14ac:dyDescent="0.3">
      <c r="A380" s="6">
        <v>46370</v>
      </c>
      <c r="B380" s="8">
        <f t="shared" si="70"/>
        <v>348</v>
      </c>
      <c r="C380" s="8">
        <f t="shared" si="71"/>
        <v>11</v>
      </c>
      <c r="D380" s="7">
        <f t="shared" si="72"/>
        <v>0.5993434626391293</v>
      </c>
      <c r="F380">
        <f t="shared" si="84"/>
        <v>-0.5993434626391293</v>
      </c>
      <c r="G380">
        <f t="shared" si="74"/>
        <v>-0.47947477011130346</v>
      </c>
      <c r="H380">
        <f t="shared" si="75"/>
        <v>-0.35960607758347757</v>
      </c>
      <c r="I380">
        <f t="shared" si="76"/>
        <v>-0.23973738505565173</v>
      </c>
      <c r="J380">
        <f t="shared" si="77"/>
        <v>-0.11986869252782587</v>
      </c>
      <c r="K380">
        <f t="shared" si="78"/>
        <v>0</v>
      </c>
      <c r="L380">
        <f t="shared" si="79"/>
        <v>0.11986869252782587</v>
      </c>
      <c r="M380">
        <f t="shared" si="80"/>
        <v>0.23973738505565173</v>
      </c>
      <c r="N380">
        <f t="shared" si="81"/>
        <v>0.35960607758347757</v>
      </c>
      <c r="O380">
        <f t="shared" si="82"/>
        <v>0.47947477011130346</v>
      </c>
      <c r="P380">
        <f t="shared" si="83"/>
        <v>0.5993434626391293</v>
      </c>
    </row>
    <row r="381" spans="1:16" x14ac:dyDescent="0.3">
      <c r="A381" s="6">
        <v>46371</v>
      </c>
      <c r="B381" s="8">
        <f t="shared" si="70"/>
        <v>349</v>
      </c>
      <c r="C381" s="8">
        <f t="shared" si="71"/>
        <v>10</v>
      </c>
      <c r="D381" s="7">
        <f t="shared" si="72"/>
        <v>0.63366127886989554</v>
      </c>
      <c r="F381">
        <f t="shared" si="84"/>
        <v>-0.63366127886989554</v>
      </c>
      <c r="G381">
        <f t="shared" si="74"/>
        <v>-0.50692902309591648</v>
      </c>
      <c r="H381">
        <f t="shared" si="75"/>
        <v>-0.3801967673219373</v>
      </c>
      <c r="I381">
        <f t="shared" si="76"/>
        <v>-0.25346451154795824</v>
      </c>
      <c r="J381">
        <f t="shared" si="77"/>
        <v>-0.12673225577397912</v>
      </c>
      <c r="K381">
        <f t="shared" si="78"/>
        <v>0</v>
      </c>
      <c r="L381">
        <f t="shared" si="79"/>
        <v>0.12673225577397912</v>
      </c>
      <c r="M381">
        <f t="shared" si="80"/>
        <v>0.25346451154795824</v>
      </c>
      <c r="N381">
        <f t="shared" si="81"/>
        <v>0.3801967673219373</v>
      </c>
      <c r="O381">
        <f t="shared" si="82"/>
        <v>0.50692902309591648</v>
      </c>
      <c r="P381">
        <f t="shared" si="83"/>
        <v>0.63366127886989554</v>
      </c>
    </row>
    <row r="382" spans="1:16" x14ac:dyDescent="0.3">
      <c r="A382" s="6">
        <v>46372</v>
      </c>
      <c r="B382" s="8">
        <f t="shared" si="70"/>
        <v>350</v>
      </c>
      <c r="C382" s="8">
        <f t="shared" si="71"/>
        <v>9</v>
      </c>
      <c r="D382" s="7">
        <f t="shared" si="72"/>
        <v>0.66848755335679988</v>
      </c>
      <c r="F382">
        <f t="shared" si="84"/>
        <v>-0.66848755335679988</v>
      </c>
      <c r="G382">
        <f t="shared" si="74"/>
        <v>-0.53479004268543995</v>
      </c>
      <c r="H382">
        <f t="shared" si="75"/>
        <v>-0.40109253201407991</v>
      </c>
      <c r="I382">
        <f t="shared" si="76"/>
        <v>-0.26739502134271997</v>
      </c>
      <c r="J382">
        <f t="shared" si="77"/>
        <v>-0.13369751067135999</v>
      </c>
      <c r="K382">
        <f t="shared" si="78"/>
        <v>0</v>
      </c>
      <c r="L382">
        <f t="shared" si="79"/>
        <v>0.13369751067135999</v>
      </c>
      <c r="M382">
        <f t="shared" si="80"/>
        <v>0.26739502134271997</v>
      </c>
      <c r="N382">
        <f t="shared" si="81"/>
        <v>0.40109253201407991</v>
      </c>
      <c r="O382">
        <f t="shared" si="82"/>
        <v>0.53479004268543995</v>
      </c>
      <c r="P382">
        <f t="shared" si="83"/>
        <v>0.66848755335679988</v>
      </c>
    </row>
    <row r="383" spans="1:16" x14ac:dyDescent="0.3">
      <c r="A383" s="6">
        <v>46373</v>
      </c>
      <c r="B383" s="8">
        <f t="shared" si="70"/>
        <v>351</v>
      </c>
      <c r="C383" s="8">
        <f t="shared" si="71"/>
        <v>8</v>
      </c>
      <c r="D383" s="7">
        <f t="shared" si="72"/>
        <v>0.70381496824546264</v>
      </c>
      <c r="F383">
        <f t="shared" si="84"/>
        <v>-0.70381496824546264</v>
      </c>
      <c r="G383">
        <f t="shared" si="74"/>
        <v>-0.56305197459637013</v>
      </c>
      <c r="H383">
        <f t="shared" si="75"/>
        <v>-0.42228898094727757</v>
      </c>
      <c r="I383">
        <f t="shared" si="76"/>
        <v>-0.28152598729818507</v>
      </c>
      <c r="J383">
        <f t="shared" si="77"/>
        <v>-0.14076299364909253</v>
      </c>
      <c r="K383">
        <f t="shared" si="78"/>
        <v>0</v>
      </c>
      <c r="L383">
        <f t="shared" si="79"/>
        <v>0.14076299364909253</v>
      </c>
      <c r="M383">
        <f t="shared" si="80"/>
        <v>0.28152598729818507</v>
      </c>
      <c r="N383">
        <f t="shared" si="81"/>
        <v>0.42228898094727757</v>
      </c>
      <c r="O383">
        <f t="shared" si="82"/>
        <v>0.56305197459637013</v>
      </c>
      <c r="P383">
        <f t="shared" si="83"/>
        <v>0.70381496824546264</v>
      </c>
    </row>
    <row r="384" spans="1:16" x14ac:dyDescent="0.3">
      <c r="A384" s="6">
        <v>46374</v>
      </c>
      <c r="B384" s="8">
        <f t="shared" si="70"/>
        <v>352</v>
      </c>
      <c r="C384" s="8">
        <f t="shared" si="71"/>
        <v>7</v>
      </c>
      <c r="D384" s="7">
        <f t="shared" si="72"/>
        <v>0.7396365128522997</v>
      </c>
      <c r="F384">
        <f t="shared" si="84"/>
        <v>-0.7396365128522997</v>
      </c>
      <c r="G384">
        <f t="shared" si="74"/>
        <v>-0.59170921028183976</v>
      </c>
      <c r="H384">
        <f t="shared" si="75"/>
        <v>-0.44378190771137982</v>
      </c>
      <c r="I384">
        <f t="shared" si="76"/>
        <v>-0.29585460514091988</v>
      </c>
      <c r="J384">
        <f t="shared" si="77"/>
        <v>-0.14792730257045994</v>
      </c>
      <c r="K384">
        <f t="shared" si="78"/>
        <v>0</v>
      </c>
      <c r="L384">
        <f t="shared" si="79"/>
        <v>0.14792730257045994</v>
      </c>
      <c r="M384">
        <f t="shared" si="80"/>
        <v>0.29585460514091988</v>
      </c>
      <c r="N384">
        <f t="shared" si="81"/>
        <v>0.44378190771137982</v>
      </c>
      <c r="O384">
        <f t="shared" si="82"/>
        <v>0.59170921028183976</v>
      </c>
      <c r="P384">
        <f t="shared" si="83"/>
        <v>0.7396365128522997</v>
      </c>
    </row>
    <row r="385" spans="1:16" x14ac:dyDescent="0.3">
      <c r="A385" s="6">
        <v>46375</v>
      </c>
      <c r="B385" s="8">
        <f t="shared" si="70"/>
        <v>353</v>
      </c>
      <c r="C385" s="8">
        <f t="shared" si="71"/>
        <v>6</v>
      </c>
      <c r="D385" s="7">
        <f t="shared" si="72"/>
        <v>0.77594546275685161</v>
      </c>
      <c r="F385">
        <f t="shared" si="84"/>
        <v>-0.77594546275685161</v>
      </c>
      <c r="G385">
        <f t="shared" si="74"/>
        <v>-0.62075637020548136</v>
      </c>
      <c r="H385">
        <f t="shared" si="75"/>
        <v>-0.46556727765411093</v>
      </c>
      <c r="I385">
        <f t="shared" si="76"/>
        <v>-0.31037818510274068</v>
      </c>
      <c r="J385">
        <f t="shared" si="77"/>
        <v>-0.15518909255137034</v>
      </c>
      <c r="K385">
        <f t="shared" si="78"/>
        <v>0</v>
      </c>
      <c r="L385">
        <f t="shared" si="79"/>
        <v>0.15518909255137034</v>
      </c>
      <c r="M385">
        <f t="shared" si="80"/>
        <v>0.31037818510274068</v>
      </c>
      <c r="N385">
        <f t="shared" si="81"/>
        <v>0.46556727765411093</v>
      </c>
      <c r="O385">
        <f t="shared" si="82"/>
        <v>0.62075637020548136</v>
      </c>
      <c r="P385">
        <f t="shared" si="83"/>
        <v>0.77594546275685161</v>
      </c>
    </row>
    <row r="386" spans="1:16" x14ac:dyDescent="0.3">
      <c r="A386" s="6">
        <v>46376</v>
      </c>
      <c r="B386" s="8">
        <f t="shared" si="70"/>
        <v>354</v>
      </c>
      <c r="C386" s="8">
        <f t="shared" si="71"/>
        <v>5</v>
      </c>
      <c r="D386" s="7">
        <f t="shared" si="72"/>
        <v>0.81273536083391074</v>
      </c>
      <c r="F386">
        <f t="shared" si="84"/>
        <v>-0.81273536083391074</v>
      </c>
      <c r="G386">
        <f t="shared" si="74"/>
        <v>-0.65018828866712863</v>
      </c>
      <c r="H386">
        <f t="shared" si="75"/>
        <v>-0.48764121650034642</v>
      </c>
      <c r="I386">
        <f t="shared" si="76"/>
        <v>-0.32509414433356432</v>
      </c>
      <c r="J386">
        <f t="shared" si="77"/>
        <v>-0.16254707216678216</v>
      </c>
      <c r="K386">
        <f t="shared" si="78"/>
        <v>0</v>
      </c>
      <c r="L386">
        <f t="shared" si="79"/>
        <v>0.16254707216678216</v>
      </c>
      <c r="M386">
        <f t="shared" si="80"/>
        <v>0.32509414433356432</v>
      </c>
      <c r="N386">
        <f t="shared" si="81"/>
        <v>0.48764121650034642</v>
      </c>
      <c r="O386">
        <f t="shared" si="82"/>
        <v>0.65018828866712863</v>
      </c>
      <c r="P386">
        <f t="shared" si="83"/>
        <v>0.81273536083391074</v>
      </c>
    </row>
    <row r="387" spans="1:16" x14ac:dyDescent="0.3">
      <c r="A387" s="6">
        <v>46377</v>
      </c>
      <c r="B387" s="8">
        <f t="shared" ref="B387:B450" si="85" xml:space="preserve"> A387 - DATE(YEAR(A387), 1, 1) + 1</f>
        <v>355</v>
      </c>
      <c r="C387" s="8">
        <f t="shared" ref="C387:C450" si="86">MIN(ABS(359-B387), 365-ABS(359-B387))</f>
        <v>4</v>
      </c>
      <c r="D387" s="7">
        <f t="shared" ref="D387:D450" si="87">MAX(0, $T$4 - (C387/$U$4)) ^ $T$7 - $U$7</f>
        <v>0.85</v>
      </c>
      <c r="F387">
        <f t="shared" si="84"/>
        <v>-0.85</v>
      </c>
      <c r="G387">
        <f t="shared" ref="G387:G450" si="88">(-8/10) * $D387</f>
        <v>-0.68</v>
      </c>
      <c r="H387">
        <f t="shared" ref="H387:H450" si="89">(-6/10) * $D387</f>
        <v>-0.51</v>
      </c>
      <c r="I387">
        <f t="shared" ref="I387:I450" si="90">(-4/10) * $D387</f>
        <v>-0.34</v>
      </c>
      <c r="J387">
        <f t="shared" ref="J387:J450" si="91">(-2/10) * $D387</f>
        <v>-0.17</v>
      </c>
      <c r="K387">
        <f t="shared" ref="K387:K450" si="92">(0/10) * $D387</f>
        <v>0</v>
      </c>
      <c r="L387">
        <f t="shared" ref="L387:L450" si="93">(2/10) * $D387</f>
        <v>0.17</v>
      </c>
      <c r="M387">
        <f t="shared" ref="M387:M450" si="94">(4/10) * $D387</f>
        <v>0.34</v>
      </c>
      <c r="N387">
        <f t="shared" ref="N387:N450" si="95">(6/10) * $D387</f>
        <v>0.51</v>
      </c>
      <c r="O387">
        <f t="shared" ref="O387:O450" si="96">(8/10) * $D387</f>
        <v>0.68</v>
      </c>
      <c r="P387">
        <f t="shared" ref="P387:P450" si="97">(10/10) * $D387</f>
        <v>0.85</v>
      </c>
    </row>
    <row r="388" spans="1:16" x14ac:dyDescent="0.3">
      <c r="A388" s="6">
        <v>46378</v>
      </c>
      <c r="B388" s="8">
        <f t="shared" si="85"/>
        <v>356</v>
      </c>
      <c r="C388" s="8">
        <f t="shared" si="86"/>
        <v>3</v>
      </c>
      <c r="D388" s="7">
        <f t="shared" si="87"/>
        <v>0.88773340747997531</v>
      </c>
      <c r="F388">
        <f t="shared" si="84"/>
        <v>-0.88773340747997531</v>
      </c>
      <c r="G388">
        <f t="shared" si="88"/>
        <v>-0.71018672598398025</v>
      </c>
      <c r="H388">
        <f t="shared" si="89"/>
        <v>-0.53264004448798519</v>
      </c>
      <c r="I388">
        <f t="shared" si="90"/>
        <v>-0.35509336299199012</v>
      </c>
      <c r="J388">
        <f t="shared" si="91"/>
        <v>-0.17754668149599506</v>
      </c>
      <c r="K388">
        <f t="shared" si="92"/>
        <v>0</v>
      </c>
      <c r="L388">
        <f t="shared" si="93"/>
        <v>0.17754668149599506</v>
      </c>
      <c r="M388">
        <f t="shared" si="94"/>
        <v>0.35509336299199012</v>
      </c>
      <c r="N388">
        <f t="shared" si="95"/>
        <v>0.53264004448798519</v>
      </c>
      <c r="O388">
        <f t="shared" si="96"/>
        <v>0.71018672598398025</v>
      </c>
      <c r="P388">
        <f t="shared" si="97"/>
        <v>0.88773340747997531</v>
      </c>
    </row>
    <row r="389" spans="1:16" x14ac:dyDescent="0.3">
      <c r="A389" s="6">
        <v>46379</v>
      </c>
      <c r="B389" s="8">
        <f t="shared" si="85"/>
        <v>357</v>
      </c>
      <c r="C389" s="8">
        <f t="shared" si="86"/>
        <v>2</v>
      </c>
      <c r="D389" s="7">
        <f t="shared" si="87"/>
        <v>0.92592983042575783</v>
      </c>
      <c r="F389">
        <f t="shared" si="84"/>
        <v>-0.92592983042575783</v>
      </c>
      <c r="G389">
        <f t="shared" si="88"/>
        <v>-0.74074386434060635</v>
      </c>
      <c r="H389">
        <f t="shared" si="89"/>
        <v>-0.55555789825545465</v>
      </c>
      <c r="I389">
        <f t="shared" si="90"/>
        <v>-0.37037193217030318</v>
      </c>
      <c r="J389">
        <f t="shared" si="91"/>
        <v>-0.18518596608515159</v>
      </c>
      <c r="K389">
        <f t="shared" si="92"/>
        <v>0</v>
      </c>
      <c r="L389">
        <f t="shared" si="93"/>
        <v>0.18518596608515159</v>
      </c>
      <c r="M389">
        <f t="shared" si="94"/>
        <v>0.37037193217030318</v>
      </c>
      <c r="N389">
        <f t="shared" si="95"/>
        <v>0.55555789825545465</v>
      </c>
      <c r="O389">
        <f t="shared" si="96"/>
        <v>0.74074386434060635</v>
      </c>
      <c r="P389">
        <f t="shared" si="97"/>
        <v>0.92592983042575783</v>
      </c>
    </row>
    <row r="390" spans="1:16" x14ac:dyDescent="0.3">
      <c r="A390" s="6">
        <v>46380</v>
      </c>
      <c r="B390" s="8">
        <f t="shared" si="85"/>
        <v>358</v>
      </c>
      <c r="C390" s="8">
        <f t="shared" si="86"/>
        <v>1</v>
      </c>
      <c r="D390" s="7">
        <f t="shared" si="87"/>
        <v>0.96458372274136528</v>
      </c>
      <c r="F390">
        <f t="shared" si="84"/>
        <v>-0.96458372274136528</v>
      </c>
      <c r="G390">
        <f t="shared" si="88"/>
        <v>-0.77166697819309227</v>
      </c>
      <c r="H390">
        <f t="shared" si="89"/>
        <v>-0.57875023364481915</v>
      </c>
      <c r="I390">
        <f t="shared" si="90"/>
        <v>-0.38583348909654613</v>
      </c>
      <c r="J390">
        <f t="shared" si="91"/>
        <v>-0.19291674454827307</v>
      </c>
      <c r="K390">
        <f t="shared" si="92"/>
        <v>0</v>
      </c>
      <c r="L390">
        <f t="shared" si="93"/>
        <v>0.19291674454827307</v>
      </c>
      <c r="M390">
        <f t="shared" si="94"/>
        <v>0.38583348909654613</v>
      </c>
      <c r="N390">
        <f t="shared" si="95"/>
        <v>0.57875023364481915</v>
      </c>
      <c r="O390">
        <f t="shared" si="96"/>
        <v>0.77166697819309227</v>
      </c>
      <c r="P390">
        <f t="shared" si="97"/>
        <v>0.96458372274136528</v>
      </c>
    </row>
    <row r="391" spans="1:16" x14ac:dyDescent="0.3">
      <c r="A391" s="6">
        <v>46381</v>
      </c>
      <c r="B391" s="8">
        <f t="shared" si="85"/>
        <v>359</v>
      </c>
      <c r="C391" s="8">
        <f t="shared" si="86"/>
        <v>0</v>
      </c>
      <c r="D391" s="7">
        <f t="shared" si="87"/>
        <v>1.003689732987167</v>
      </c>
      <c r="F391">
        <f t="shared" si="84"/>
        <v>-1.003689732987167</v>
      </c>
      <c r="G391">
        <f t="shared" si="88"/>
        <v>-0.80295178638973363</v>
      </c>
      <c r="H391">
        <f t="shared" si="89"/>
        <v>-0.60221383979230014</v>
      </c>
      <c r="I391">
        <f t="shared" si="90"/>
        <v>-0.40147589319486682</v>
      </c>
      <c r="J391">
        <f t="shared" si="91"/>
        <v>-0.20073794659743341</v>
      </c>
      <c r="K391">
        <f t="shared" si="92"/>
        <v>0</v>
      </c>
      <c r="L391">
        <f t="shared" si="93"/>
        <v>0.20073794659743341</v>
      </c>
      <c r="M391">
        <f t="shared" si="94"/>
        <v>0.40147589319486682</v>
      </c>
      <c r="N391">
        <f t="shared" si="95"/>
        <v>0.60221383979230014</v>
      </c>
      <c r="O391">
        <f t="shared" si="96"/>
        <v>0.80295178638973363</v>
      </c>
      <c r="P391">
        <f t="shared" si="97"/>
        <v>1.003689732987167</v>
      </c>
    </row>
    <row r="392" spans="1:16" x14ac:dyDescent="0.3">
      <c r="A392" s="6">
        <v>46382</v>
      </c>
      <c r="B392" s="8">
        <f t="shared" si="85"/>
        <v>360</v>
      </c>
      <c r="C392" s="8">
        <f t="shared" si="86"/>
        <v>1</v>
      </c>
      <c r="D392" s="7">
        <f t="shared" si="87"/>
        <v>0.96458372274136528</v>
      </c>
      <c r="F392">
        <f t="shared" si="84"/>
        <v>-0.96458372274136528</v>
      </c>
      <c r="G392">
        <f t="shared" si="88"/>
        <v>-0.77166697819309227</v>
      </c>
      <c r="H392">
        <f t="shared" si="89"/>
        <v>-0.57875023364481915</v>
      </c>
      <c r="I392">
        <f t="shared" si="90"/>
        <v>-0.38583348909654613</v>
      </c>
      <c r="J392">
        <f t="shared" si="91"/>
        <v>-0.19291674454827307</v>
      </c>
      <c r="K392">
        <f t="shared" si="92"/>
        <v>0</v>
      </c>
      <c r="L392">
        <f t="shared" si="93"/>
        <v>0.19291674454827307</v>
      </c>
      <c r="M392">
        <f t="shared" si="94"/>
        <v>0.38583348909654613</v>
      </c>
      <c r="N392">
        <f t="shared" si="95"/>
        <v>0.57875023364481915</v>
      </c>
      <c r="O392">
        <f t="shared" si="96"/>
        <v>0.77166697819309227</v>
      </c>
      <c r="P392">
        <f t="shared" si="97"/>
        <v>0.96458372274136528</v>
      </c>
    </row>
    <row r="393" spans="1:16" x14ac:dyDescent="0.3">
      <c r="A393" s="6">
        <v>46383</v>
      </c>
      <c r="B393" s="8">
        <f t="shared" si="85"/>
        <v>361</v>
      </c>
      <c r="C393" s="8">
        <f t="shared" si="86"/>
        <v>2</v>
      </c>
      <c r="D393" s="7">
        <f t="shared" si="87"/>
        <v>0.92592983042575783</v>
      </c>
      <c r="F393">
        <f t="shared" si="84"/>
        <v>-0.92592983042575783</v>
      </c>
      <c r="G393">
        <f t="shared" si="88"/>
        <v>-0.74074386434060635</v>
      </c>
      <c r="H393">
        <f t="shared" si="89"/>
        <v>-0.55555789825545465</v>
      </c>
      <c r="I393">
        <f t="shared" si="90"/>
        <v>-0.37037193217030318</v>
      </c>
      <c r="J393">
        <f t="shared" si="91"/>
        <v>-0.18518596608515159</v>
      </c>
      <c r="K393">
        <f t="shared" si="92"/>
        <v>0</v>
      </c>
      <c r="L393">
        <f t="shared" si="93"/>
        <v>0.18518596608515159</v>
      </c>
      <c r="M393">
        <f t="shared" si="94"/>
        <v>0.37037193217030318</v>
      </c>
      <c r="N393">
        <f t="shared" si="95"/>
        <v>0.55555789825545465</v>
      </c>
      <c r="O393">
        <f t="shared" si="96"/>
        <v>0.74074386434060635</v>
      </c>
      <c r="P393">
        <f t="shared" si="97"/>
        <v>0.92592983042575783</v>
      </c>
    </row>
    <row r="394" spans="1:16" x14ac:dyDescent="0.3">
      <c r="A394" s="6">
        <v>46384</v>
      </c>
      <c r="B394" s="8">
        <f t="shared" si="85"/>
        <v>362</v>
      </c>
      <c r="C394" s="8">
        <f t="shared" si="86"/>
        <v>3</v>
      </c>
      <c r="D394" s="7">
        <f t="shared" si="87"/>
        <v>0.88773340747997531</v>
      </c>
      <c r="F394">
        <f t="shared" si="84"/>
        <v>-0.88773340747997531</v>
      </c>
      <c r="G394">
        <f t="shared" si="88"/>
        <v>-0.71018672598398025</v>
      </c>
      <c r="H394">
        <f t="shared" si="89"/>
        <v>-0.53264004448798519</v>
      </c>
      <c r="I394">
        <f t="shared" si="90"/>
        <v>-0.35509336299199012</v>
      </c>
      <c r="J394">
        <f t="shared" si="91"/>
        <v>-0.17754668149599506</v>
      </c>
      <c r="K394">
        <f t="shared" si="92"/>
        <v>0</v>
      </c>
      <c r="L394">
        <f t="shared" si="93"/>
        <v>0.17754668149599506</v>
      </c>
      <c r="M394">
        <f t="shared" si="94"/>
        <v>0.35509336299199012</v>
      </c>
      <c r="N394">
        <f t="shared" si="95"/>
        <v>0.53264004448798519</v>
      </c>
      <c r="O394">
        <f t="shared" si="96"/>
        <v>0.71018672598398025</v>
      </c>
      <c r="P394">
        <f t="shared" si="97"/>
        <v>0.88773340747997531</v>
      </c>
    </row>
    <row r="395" spans="1:16" x14ac:dyDescent="0.3">
      <c r="A395" s="6">
        <v>46385</v>
      </c>
      <c r="B395" s="8">
        <f t="shared" si="85"/>
        <v>363</v>
      </c>
      <c r="C395" s="8">
        <f t="shared" si="86"/>
        <v>4</v>
      </c>
      <c r="D395" s="7">
        <f t="shared" si="87"/>
        <v>0.85</v>
      </c>
      <c r="F395">
        <f t="shared" si="84"/>
        <v>-0.85</v>
      </c>
      <c r="G395">
        <f t="shared" si="88"/>
        <v>-0.68</v>
      </c>
      <c r="H395">
        <f t="shared" si="89"/>
        <v>-0.51</v>
      </c>
      <c r="I395">
        <f t="shared" si="90"/>
        <v>-0.34</v>
      </c>
      <c r="J395">
        <f t="shared" si="91"/>
        <v>-0.17</v>
      </c>
      <c r="K395">
        <f t="shared" si="92"/>
        <v>0</v>
      </c>
      <c r="L395">
        <f t="shared" si="93"/>
        <v>0.17</v>
      </c>
      <c r="M395">
        <f t="shared" si="94"/>
        <v>0.34</v>
      </c>
      <c r="N395">
        <f t="shared" si="95"/>
        <v>0.51</v>
      </c>
      <c r="O395">
        <f t="shared" si="96"/>
        <v>0.68</v>
      </c>
      <c r="P395">
        <f t="shared" si="97"/>
        <v>0.85</v>
      </c>
    </row>
    <row r="396" spans="1:16" x14ac:dyDescent="0.3">
      <c r="A396" s="6">
        <v>46386</v>
      </c>
      <c r="B396" s="8">
        <f t="shared" si="85"/>
        <v>364</v>
      </c>
      <c r="C396" s="8">
        <f t="shared" si="86"/>
        <v>5</v>
      </c>
      <c r="D396" s="7">
        <f t="shared" si="87"/>
        <v>0.81273536083391074</v>
      </c>
      <c r="F396">
        <f t="shared" si="84"/>
        <v>-0.81273536083391074</v>
      </c>
      <c r="G396">
        <f t="shared" si="88"/>
        <v>-0.65018828866712863</v>
      </c>
      <c r="H396">
        <f t="shared" si="89"/>
        <v>-0.48764121650034642</v>
      </c>
      <c r="I396">
        <f t="shared" si="90"/>
        <v>-0.32509414433356432</v>
      </c>
      <c r="J396">
        <f t="shared" si="91"/>
        <v>-0.16254707216678216</v>
      </c>
      <c r="K396">
        <f t="shared" si="92"/>
        <v>0</v>
      </c>
      <c r="L396">
        <f t="shared" si="93"/>
        <v>0.16254707216678216</v>
      </c>
      <c r="M396">
        <f t="shared" si="94"/>
        <v>0.32509414433356432</v>
      </c>
      <c r="N396">
        <f t="shared" si="95"/>
        <v>0.48764121650034642</v>
      </c>
      <c r="O396">
        <f t="shared" si="96"/>
        <v>0.65018828866712863</v>
      </c>
      <c r="P396">
        <f t="shared" si="97"/>
        <v>0.81273536083391074</v>
      </c>
    </row>
    <row r="397" spans="1:16" x14ac:dyDescent="0.3">
      <c r="A397" s="6">
        <v>46387</v>
      </c>
      <c r="B397" s="8">
        <f t="shared" si="85"/>
        <v>365</v>
      </c>
      <c r="C397" s="8">
        <f t="shared" si="86"/>
        <v>6</v>
      </c>
      <c r="D397" s="7">
        <f t="shared" si="87"/>
        <v>0.77594546275685161</v>
      </c>
      <c r="F397">
        <f t="shared" si="84"/>
        <v>-0.77594546275685161</v>
      </c>
      <c r="G397">
        <f t="shared" si="88"/>
        <v>-0.62075637020548136</v>
      </c>
      <c r="H397">
        <f t="shared" si="89"/>
        <v>-0.46556727765411093</v>
      </c>
      <c r="I397">
        <f t="shared" si="90"/>
        <v>-0.31037818510274068</v>
      </c>
      <c r="J397">
        <f t="shared" si="91"/>
        <v>-0.15518909255137034</v>
      </c>
      <c r="K397">
        <f t="shared" si="92"/>
        <v>0</v>
      </c>
      <c r="L397">
        <f t="shared" si="93"/>
        <v>0.15518909255137034</v>
      </c>
      <c r="M397">
        <f t="shared" si="94"/>
        <v>0.31037818510274068</v>
      </c>
      <c r="N397">
        <f t="shared" si="95"/>
        <v>0.46556727765411093</v>
      </c>
      <c r="O397">
        <f t="shared" si="96"/>
        <v>0.62075637020548136</v>
      </c>
      <c r="P397">
        <f t="shared" si="97"/>
        <v>0.77594546275685161</v>
      </c>
    </row>
    <row r="398" spans="1:16" x14ac:dyDescent="0.3">
      <c r="A398" s="6">
        <v>46388</v>
      </c>
      <c r="B398" s="8">
        <f t="shared" si="85"/>
        <v>1</v>
      </c>
      <c r="C398" s="8">
        <f t="shared" si="86"/>
        <v>7</v>
      </c>
      <c r="D398" s="7">
        <f t="shared" si="87"/>
        <v>0.7396365128522997</v>
      </c>
      <c r="F398">
        <f t="shared" si="84"/>
        <v>-0.7396365128522997</v>
      </c>
      <c r="G398">
        <f t="shared" si="88"/>
        <v>-0.59170921028183976</v>
      </c>
      <c r="H398">
        <f t="shared" si="89"/>
        <v>-0.44378190771137982</v>
      </c>
      <c r="I398">
        <f t="shared" si="90"/>
        <v>-0.29585460514091988</v>
      </c>
      <c r="J398">
        <f t="shared" si="91"/>
        <v>-0.14792730257045994</v>
      </c>
      <c r="K398">
        <f t="shared" si="92"/>
        <v>0</v>
      </c>
      <c r="L398">
        <f t="shared" si="93"/>
        <v>0.14792730257045994</v>
      </c>
      <c r="M398">
        <f t="shared" si="94"/>
        <v>0.29585460514091988</v>
      </c>
      <c r="N398">
        <f t="shared" si="95"/>
        <v>0.44378190771137982</v>
      </c>
      <c r="O398">
        <f t="shared" si="96"/>
        <v>0.59170921028183976</v>
      </c>
      <c r="P398">
        <f t="shared" si="97"/>
        <v>0.7396365128522997</v>
      </c>
    </row>
    <row r="399" spans="1:16" x14ac:dyDescent="0.3">
      <c r="A399" s="6">
        <v>46389</v>
      </c>
      <c r="B399" s="8">
        <f t="shared" si="85"/>
        <v>2</v>
      </c>
      <c r="C399" s="8">
        <f t="shared" si="86"/>
        <v>8</v>
      </c>
      <c r="D399" s="7">
        <f t="shared" si="87"/>
        <v>0.70381496824546264</v>
      </c>
      <c r="F399">
        <f t="shared" si="84"/>
        <v>-0.70381496824546264</v>
      </c>
      <c r="G399">
        <f t="shared" si="88"/>
        <v>-0.56305197459637013</v>
      </c>
      <c r="H399">
        <f t="shared" si="89"/>
        <v>-0.42228898094727757</v>
      </c>
      <c r="I399">
        <f t="shared" si="90"/>
        <v>-0.28152598729818507</v>
      </c>
      <c r="J399">
        <f t="shared" si="91"/>
        <v>-0.14076299364909253</v>
      </c>
      <c r="K399">
        <f t="shared" si="92"/>
        <v>0</v>
      </c>
      <c r="L399">
        <f t="shared" si="93"/>
        <v>0.14076299364909253</v>
      </c>
      <c r="M399">
        <f t="shared" si="94"/>
        <v>0.28152598729818507</v>
      </c>
      <c r="N399">
        <f t="shared" si="95"/>
        <v>0.42228898094727757</v>
      </c>
      <c r="O399">
        <f t="shared" si="96"/>
        <v>0.56305197459637013</v>
      </c>
      <c r="P399">
        <f t="shared" si="97"/>
        <v>0.70381496824546264</v>
      </c>
    </row>
    <row r="400" spans="1:16" x14ac:dyDescent="0.3">
      <c r="A400" s="6">
        <v>46390</v>
      </c>
      <c r="B400" s="8">
        <f t="shared" si="85"/>
        <v>3</v>
      </c>
      <c r="C400" s="8">
        <f t="shared" si="86"/>
        <v>9</v>
      </c>
      <c r="D400" s="7">
        <f t="shared" si="87"/>
        <v>0.66848755335679988</v>
      </c>
      <c r="F400">
        <f t="shared" si="84"/>
        <v>-0.66848755335679988</v>
      </c>
      <c r="G400">
        <f t="shared" si="88"/>
        <v>-0.53479004268543995</v>
      </c>
      <c r="H400">
        <f t="shared" si="89"/>
        <v>-0.40109253201407991</v>
      </c>
      <c r="I400">
        <f t="shared" si="90"/>
        <v>-0.26739502134271997</v>
      </c>
      <c r="J400">
        <f t="shared" si="91"/>
        <v>-0.13369751067135999</v>
      </c>
      <c r="K400">
        <f t="shared" si="92"/>
        <v>0</v>
      </c>
      <c r="L400">
        <f t="shared" si="93"/>
        <v>0.13369751067135999</v>
      </c>
      <c r="M400">
        <f t="shared" si="94"/>
        <v>0.26739502134271997</v>
      </c>
      <c r="N400">
        <f t="shared" si="95"/>
        <v>0.40109253201407991</v>
      </c>
      <c r="O400">
        <f t="shared" si="96"/>
        <v>0.53479004268543995</v>
      </c>
      <c r="P400">
        <f t="shared" si="97"/>
        <v>0.66848755335679988</v>
      </c>
    </row>
    <row r="401" spans="1:16" x14ac:dyDescent="0.3">
      <c r="A401" s="6">
        <v>46391</v>
      </c>
      <c r="B401" s="8">
        <f t="shared" si="85"/>
        <v>4</v>
      </c>
      <c r="C401" s="8">
        <f t="shared" si="86"/>
        <v>10</v>
      </c>
      <c r="D401" s="7">
        <f t="shared" si="87"/>
        <v>0.63366127886989554</v>
      </c>
      <c r="F401">
        <f t="shared" si="84"/>
        <v>-0.63366127886989554</v>
      </c>
      <c r="G401">
        <f t="shared" si="88"/>
        <v>-0.50692902309591648</v>
      </c>
      <c r="H401">
        <f t="shared" si="89"/>
        <v>-0.3801967673219373</v>
      </c>
      <c r="I401">
        <f t="shared" si="90"/>
        <v>-0.25346451154795824</v>
      </c>
      <c r="J401">
        <f t="shared" si="91"/>
        <v>-0.12673225577397912</v>
      </c>
      <c r="K401">
        <f t="shared" si="92"/>
        <v>0</v>
      </c>
      <c r="L401">
        <f t="shared" si="93"/>
        <v>0.12673225577397912</v>
      </c>
      <c r="M401">
        <f t="shared" si="94"/>
        <v>0.25346451154795824</v>
      </c>
      <c r="N401">
        <f t="shared" si="95"/>
        <v>0.3801967673219373</v>
      </c>
      <c r="O401">
        <f t="shared" si="96"/>
        <v>0.50692902309591648</v>
      </c>
      <c r="P401">
        <f t="shared" si="97"/>
        <v>0.63366127886989554</v>
      </c>
    </row>
    <row r="402" spans="1:16" x14ac:dyDescent="0.3">
      <c r="A402" s="6">
        <v>46392</v>
      </c>
      <c r="B402" s="8">
        <f t="shared" si="85"/>
        <v>5</v>
      </c>
      <c r="C402" s="8">
        <f t="shared" si="86"/>
        <v>11</v>
      </c>
      <c r="D402" s="7">
        <f t="shared" si="87"/>
        <v>0.5993434626391293</v>
      </c>
      <c r="F402">
        <f t="shared" si="84"/>
        <v>-0.5993434626391293</v>
      </c>
      <c r="G402">
        <f t="shared" si="88"/>
        <v>-0.47947477011130346</v>
      </c>
      <c r="H402">
        <f t="shared" si="89"/>
        <v>-0.35960607758347757</v>
      </c>
      <c r="I402">
        <f t="shared" si="90"/>
        <v>-0.23973738505565173</v>
      </c>
      <c r="J402">
        <f t="shared" si="91"/>
        <v>-0.11986869252782587</v>
      </c>
      <c r="K402">
        <f t="shared" si="92"/>
        <v>0</v>
      </c>
      <c r="L402">
        <f t="shared" si="93"/>
        <v>0.11986869252782587</v>
      </c>
      <c r="M402">
        <f t="shared" si="94"/>
        <v>0.23973738505565173</v>
      </c>
      <c r="N402">
        <f t="shared" si="95"/>
        <v>0.35960607758347757</v>
      </c>
      <c r="O402">
        <f t="shared" si="96"/>
        <v>0.47947477011130346</v>
      </c>
      <c r="P402">
        <f t="shared" si="97"/>
        <v>0.5993434626391293</v>
      </c>
    </row>
    <row r="403" spans="1:16" x14ac:dyDescent="0.3">
      <c r="A403" s="6">
        <v>46393</v>
      </c>
      <c r="B403" s="8">
        <f t="shared" si="85"/>
        <v>6</v>
      </c>
      <c r="C403" s="8">
        <f t="shared" si="86"/>
        <v>12</v>
      </c>
      <c r="D403" s="7">
        <f t="shared" si="87"/>
        <v>0.56554175279993268</v>
      </c>
      <c r="F403">
        <f t="shared" si="84"/>
        <v>-0.56554175279993268</v>
      </c>
      <c r="G403">
        <f t="shared" si="88"/>
        <v>-0.45243340223994616</v>
      </c>
      <c r="H403">
        <f t="shared" si="89"/>
        <v>-0.33932505167995958</v>
      </c>
      <c r="I403">
        <f t="shared" si="90"/>
        <v>-0.22621670111997308</v>
      </c>
      <c r="J403">
        <f t="shared" si="91"/>
        <v>-0.11310835055998654</v>
      </c>
      <c r="K403">
        <f t="shared" si="92"/>
        <v>0</v>
      </c>
      <c r="L403">
        <f t="shared" si="93"/>
        <v>0.11310835055998654</v>
      </c>
      <c r="M403">
        <f t="shared" si="94"/>
        <v>0.22621670111997308</v>
      </c>
      <c r="N403">
        <f t="shared" si="95"/>
        <v>0.33932505167995958</v>
      </c>
      <c r="O403">
        <f t="shared" si="96"/>
        <v>0.45243340223994616</v>
      </c>
      <c r="P403">
        <f t="shared" si="97"/>
        <v>0.56554175279993268</v>
      </c>
    </row>
    <row r="404" spans="1:16" x14ac:dyDescent="0.3">
      <c r="A404" s="6">
        <v>46394</v>
      </c>
      <c r="B404" s="8">
        <f t="shared" si="85"/>
        <v>7</v>
      </c>
      <c r="C404" s="8">
        <f t="shared" si="86"/>
        <v>13</v>
      </c>
      <c r="D404" s="7">
        <f t="shared" si="87"/>
        <v>0.53226415338928679</v>
      </c>
      <c r="F404">
        <f t="shared" si="84"/>
        <v>-0.53226415338928679</v>
      </c>
      <c r="G404">
        <f t="shared" si="88"/>
        <v>-0.42581132271142946</v>
      </c>
      <c r="H404">
        <f t="shared" si="89"/>
        <v>-0.31935849203357208</v>
      </c>
      <c r="I404">
        <f t="shared" si="90"/>
        <v>-0.21290566135571473</v>
      </c>
      <c r="J404">
        <f t="shared" si="91"/>
        <v>-0.10645283067785737</v>
      </c>
      <c r="K404">
        <f t="shared" si="92"/>
        <v>0</v>
      </c>
      <c r="L404">
        <f t="shared" si="93"/>
        <v>0.10645283067785737</v>
      </c>
      <c r="M404">
        <f t="shared" si="94"/>
        <v>0.21290566135571473</v>
      </c>
      <c r="N404">
        <f t="shared" si="95"/>
        <v>0.31935849203357208</v>
      </c>
      <c r="O404">
        <f t="shared" si="96"/>
        <v>0.42581132271142946</v>
      </c>
      <c r="P404">
        <f t="shared" si="97"/>
        <v>0.53226415338928679</v>
      </c>
    </row>
    <row r="405" spans="1:16" x14ac:dyDescent="0.3">
      <c r="A405" s="6">
        <v>46395</v>
      </c>
      <c r="B405" s="8">
        <f t="shared" si="85"/>
        <v>8</v>
      </c>
      <c r="C405" s="8">
        <f t="shared" si="86"/>
        <v>14</v>
      </c>
      <c r="D405" s="7">
        <f t="shared" si="87"/>
        <v>0.49951905283832909</v>
      </c>
      <c r="F405">
        <f t="shared" si="84"/>
        <v>-0.49951905283832909</v>
      </c>
      <c r="G405">
        <f t="shared" si="88"/>
        <v>-0.39961524227066331</v>
      </c>
      <c r="H405">
        <f t="shared" si="89"/>
        <v>-0.29971143170299747</v>
      </c>
      <c r="I405">
        <f t="shared" si="90"/>
        <v>-0.19980762113533165</v>
      </c>
      <c r="J405">
        <f t="shared" si="91"/>
        <v>-9.9903810567665827E-2</v>
      </c>
      <c r="K405">
        <f t="shared" si="92"/>
        <v>0</v>
      </c>
      <c r="L405">
        <f t="shared" si="93"/>
        <v>9.9903810567665827E-2</v>
      </c>
      <c r="M405">
        <f t="shared" si="94"/>
        <v>0.19980762113533165</v>
      </c>
      <c r="N405">
        <f t="shared" si="95"/>
        <v>0.29971143170299747</v>
      </c>
      <c r="O405">
        <f t="shared" si="96"/>
        <v>0.39961524227066331</v>
      </c>
      <c r="P405">
        <f t="shared" si="97"/>
        <v>0.49951905283832909</v>
      </c>
    </row>
    <row r="406" spans="1:16" x14ac:dyDescent="0.3">
      <c r="A406" s="6">
        <v>46396</v>
      </c>
      <c r="B406" s="8">
        <f t="shared" si="85"/>
        <v>9</v>
      </c>
      <c r="C406" s="8">
        <f t="shared" si="86"/>
        <v>15</v>
      </c>
      <c r="D406" s="7">
        <f t="shared" si="87"/>
        <v>0.46731525576483213</v>
      </c>
      <c r="F406">
        <f t="shared" si="84"/>
        <v>-0.46731525576483213</v>
      </c>
      <c r="G406">
        <f t="shared" si="88"/>
        <v>-0.37385220461186575</v>
      </c>
      <c r="H406">
        <f t="shared" si="89"/>
        <v>-0.28038915345889925</v>
      </c>
      <c r="I406">
        <f t="shared" si="90"/>
        <v>-0.18692610230593287</v>
      </c>
      <c r="J406">
        <f t="shared" si="91"/>
        <v>-9.3463051152966437E-2</v>
      </c>
      <c r="K406">
        <f t="shared" si="92"/>
        <v>0</v>
      </c>
      <c r="L406">
        <f t="shared" si="93"/>
        <v>9.3463051152966437E-2</v>
      </c>
      <c r="M406">
        <f t="shared" si="94"/>
        <v>0.18692610230593287</v>
      </c>
      <c r="N406">
        <f t="shared" si="95"/>
        <v>0.28038915345889925</v>
      </c>
      <c r="O406">
        <f t="shared" si="96"/>
        <v>0.37385220461186575</v>
      </c>
      <c r="P406">
        <f t="shared" si="97"/>
        <v>0.46731525576483213</v>
      </c>
    </row>
    <row r="407" spans="1:16" x14ac:dyDescent="0.3">
      <c r="A407" s="6">
        <v>46397</v>
      </c>
      <c r="B407" s="8">
        <f t="shared" si="85"/>
        <v>10</v>
      </c>
      <c r="C407" s="8">
        <f t="shared" si="86"/>
        <v>16</v>
      </c>
      <c r="D407" s="7">
        <f t="shared" si="87"/>
        <v>0.43566201857385289</v>
      </c>
      <c r="F407">
        <f t="shared" si="84"/>
        <v>-0.43566201857385289</v>
      </c>
      <c r="G407">
        <f t="shared" si="88"/>
        <v>-0.34852961485908235</v>
      </c>
      <c r="H407">
        <f t="shared" si="89"/>
        <v>-0.26139721114431175</v>
      </c>
      <c r="I407">
        <f t="shared" si="90"/>
        <v>-0.17426480742954117</v>
      </c>
      <c r="J407">
        <f t="shared" si="91"/>
        <v>-8.7132403714770587E-2</v>
      </c>
      <c r="K407">
        <f t="shared" si="92"/>
        <v>0</v>
      </c>
      <c r="L407">
        <f t="shared" si="93"/>
        <v>8.7132403714770587E-2</v>
      </c>
      <c r="M407">
        <f t="shared" si="94"/>
        <v>0.17426480742954117</v>
      </c>
      <c r="N407">
        <f t="shared" si="95"/>
        <v>0.26139721114431175</v>
      </c>
      <c r="O407">
        <f t="shared" si="96"/>
        <v>0.34852961485908235</v>
      </c>
      <c r="P407">
        <f t="shared" si="97"/>
        <v>0.43566201857385289</v>
      </c>
    </row>
    <row r="408" spans="1:16" x14ac:dyDescent="0.3">
      <c r="A408" s="6">
        <v>46398</v>
      </c>
      <c r="B408" s="8">
        <f t="shared" si="85"/>
        <v>11</v>
      </c>
      <c r="C408" s="8">
        <f t="shared" si="86"/>
        <v>17</v>
      </c>
      <c r="D408" s="7">
        <f t="shared" si="87"/>
        <v>0.40456908947398074</v>
      </c>
      <c r="F408">
        <f t="shared" si="84"/>
        <v>-0.40456908947398074</v>
      </c>
      <c r="G408">
        <f t="shared" si="88"/>
        <v>-0.32365527157918461</v>
      </c>
      <c r="H408">
        <f t="shared" si="89"/>
        <v>-0.24274145368438843</v>
      </c>
      <c r="I408">
        <f t="shared" si="90"/>
        <v>-0.16182763578959231</v>
      </c>
      <c r="J408">
        <f t="shared" si="91"/>
        <v>-8.0913817894796153E-2</v>
      </c>
      <c r="K408">
        <f t="shared" si="92"/>
        <v>0</v>
      </c>
      <c r="L408">
        <f t="shared" si="93"/>
        <v>8.0913817894796153E-2</v>
      </c>
      <c r="M408">
        <f t="shared" si="94"/>
        <v>0.16182763578959231</v>
      </c>
      <c r="N408">
        <f t="shared" si="95"/>
        <v>0.24274145368438843</v>
      </c>
      <c r="O408">
        <f t="shared" si="96"/>
        <v>0.32365527157918461</v>
      </c>
      <c r="P408">
        <f t="shared" si="97"/>
        <v>0.40456908947398074</v>
      </c>
    </row>
    <row r="409" spans="1:16" x14ac:dyDescent="0.3">
      <c r="A409" s="6">
        <v>46399</v>
      </c>
      <c r="B409" s="8">
        <f t="shared" si="85"/>
        <v>12</v>
      </c>
      <c r="C409" s="8">
        <f t="shared" si="86"/>
        <v>18</v>
      </c>
      <c r="D409" s="7">
        <f t="shared" si="87"/>
        <v>0.37404675363940587</v>
      </c>
      <c r="F409">
        <f t="shared" si="84"/>
        <v>-0.37404675363940587</v>
      </c>
      <c r="G409">
        <f t="shared" si="88"/>
        <v>-0.29923740291152473</v>
      </c>
      <c r="H409">
        <f t="shared" si="89"/>
        <v>-0.22442805218364351</v>
      </c>
      <c r="I409">
        <f t="shared" si="90"/>
        <v>-0.14961870145576237</v>
      </c>
      <c r="J409">
        <f t="shared" si="91"/>
        <v>-7.4809350727881183E-2</v>
      </c>
      <c r="K409">
        <f t="shared" si="92"/>
        <v>0</v>
      </c>
      <c r="L409">
        <f t="shared" si="93"/>
        <v>7.4809350727881183E-2</v>
      </c>
      <c r="M409">
        <f t="shared" si="94"/>
        <v>0.14961870145576237</v>
      </c>
      <c r="N409">
        <f t="shared" si="95"/>
        <v>0.22442805218364351</v>
      </c>
      <c r="O409">
        <f t="shared" si="96"/>
        <v>0.29923740291152473</v>
      </c>
      <c r="P409">
        <f t="shared" si="97"/>
        <v>0.37404675363940587</v>
      </c>
    </row>
    <row r="410" spans="1:16" x14ac:dyDescent="0.3">
      <c r="A410" s="6">
        <v>46400</v>
      </c>
      <c r="B410" s="8">
        <f t="shared" si="85"/>
        <v>13</v>
      </c>
      <c r="C410" s="8">
        <f t="shared" si="86"/>
        <v>19</v>
      </c>
      <c r="D410" s="7">
        <f t="shared" si="87"/>
        <v>0.3441058844013094</v>
      </c>
      <c r="F410">
        <f t="shared" si="84"/>
        <v>-0.3441058844013094</v>
      </c>
      <c r="G410">
        <f t="shared" si="88"/>
        <v>-0.27528470752104756</v>
      </c>
      <c r="H410">
        <f t="shared" si="89"/>
        <v>-0.20646353064078563</v>
      </c>
      <c r="I410">
        <f t="shared" si="90"/>
        <v>-0.13764235376052378</v>
      </c>
      <c r="J410">
        <f t="shared" si="91"/>
        <v>-6.8821176880261889E-2</v>
      </c>
      <c r="K410">
        <f t="shared" si="92"/>
        <v>0</v>
      </c>
      <c r="L410">
        <f t="shared" si="93"/>
        <v>6.8821176880261889E-2</v>
      </c>
      <c r="M410">
        <f t="shared" si="94"/>
        <v>0.13764235376052378</v>
      </c>
      <c r="N410">
        <f t="shared" si="95"/>
        <v>0.20646353064078563</v>
      </c>
      <c r="O410">
        <f t="shared" si="96"/>
        <v>0.27528470752104756</v>
      </c>
      <c r="P410">
        <f t="shared" si="97"/>
        <v>0.3441058844013094</v>
      </c>
    </row>
    <row r="411" spans="1:16" x14ac:dyDescent="0.3">
      <c r="A411" s="6">
        <v>46401</v>
      </c>
      <c r="B411" s="8">
        <f t="shared" si="85"/>
        <v>14</v>
      </c>
      <c r="C411" s="8">
        <f t="shared" si="86"/>
        <v>20</v>
      </c>
      <c r="D411" s="7">
        <f t="shared" si="87"/>
        <v>0.3147580015448902</v>
      </c>
      <c r="F411">
        <f t="shared" si="84"/>
        <v>-0.3147580015448902</v>
      </c>
      <c r="G411">
        <f t="shared" si="88"/>
        <v>-0.25180640123591219</v>
      </c>
      <c r="H411">
        <f t="shared" si="89"/>
        <v>-0.1888548009269341</v>
      </c>
      <c r="I411">
        <f t="shared" si="90"/>
        <v>-0.1259032006179561</v>
      </c>
      <c r="J411">
        <f t="shared" si="91"/>
        <v>-6.2951600308978048E-2</v>
      </c>
      <c r="K411">
        <f t="shared" si="92"/>
        <v>0</v>
      </c>
      <c r="L411">
        <f t="shared" si="93"/>
        <v>6.2951600308978048E-2</v>
      </c>
      <c r="M411">
        <f t="shared" si="94"/>
        <v>0.1259032006179561</v>
      </c>
      <c r="N411">
        <f t="shared" si="95"/>
        <v>0.1888548009269341</v>
      </c>
      <c r="O411">
        <f t="shared" si="96"/>
        <v>0.25180640123591219</v>
      </c>
      <c r="P411">
        <f t="shared" si="97"/>
        <v>0.3147580015448902</v>
      </c>
    </row>
    <row r="412" spans="1:16" x14ac:dyDescent="0.3">
      <c r="A412" s="6">
        <v>46402</v>
      </c>
      <c r="B412" s="8">
        <f t="shared" si="85"/>
        <v>15</v>
      </c>
      <c r="C412" s="8">
        <f t="shared" si="86"/>
        <v>21</v>
      </c>
      <c r="D412" s="7">
        <f t="shared" si="87"/>
        <v>0.28601533803296431</v>
      </c>
      <c r="F412">
        <f t="shared" si="84"/>
        <v>-0.28601533803296431</v>
      </c>
      <c r="G412">
        <f t="shared" si="88"/>
        <v>-0.22881227042637145</v>
      </c>
      <c r="H412">
        <f t="shared" si="89"/>
        <v>-0.17160920281977857</v>
      </c>
      <c r="I412">
        <f t="shared" si="90"/>
        <v>-0.11440613521318573</v>
      </c>
      <c r="J412">
        <f t="shared" si="91"/>
        <v>-5.7203067606592863E-2</v>
      </c>
      <c r="K412">
        <f t="shared" si="92"/>
        <v>0</v>
      </c>
      <c r="L412">
        <f t="shared" si="93"/>
        <v>5.7203067606592863E-2</v>
      </c>
      <c r="M412">
        <f t="shared" si="94"/>
        <v>0.11440613521318573</v>
      </c>
      <c r="N412">
        <f t="shared" si="95"/>
        <v>0.17160920281977857</v>
      </c>
      <c r="O412">
        <f t="shared" si="96"/>
        <v>0.22881227042637145</v>
      </c>
      <c r="P412">
        <f t="shared" si="97"/>
        <v>0.28601533803296431</v>
      </c>
    </row>
    <row r="413" spans="1:16" x14ac:dyDescent="0.3">
      <c r="A413" s="6">
        <v>46403</v>
      </c>
      <c r="B413" s="8">
        <f t="shared" si="85"/>
        <v>16</v>
      </c>
      <c r="C413" s="8">
        <f t="shared" si="86"/>
        <v>22</v>
      </c>
      <c r="D413" s="7">
        <f t="shared" si="87"/>
        <v>0.25789091679026155</v>
      </c>
      <c r="F413">
        <f t="shared" si="84"/>
        <v>-0.25789091679026155</v>
      </c>
      <c r="G413">
        <f t="shared" si="88"/>
        <v>-0.20631273343220924</v>
      </c>
      <c r="H413">
        <f t="shared" si="89"/>
        <v>-0.15473455007415693</v>
      </c>
      <c r="I413">
        <f t="shared" si="90"/>
        <v>-0.10315636671610462</v>
      </c>
      <c r="J413">
        <f t="shared" si="91"/>
        <v>-5.157818335805231E-2</v>
      </c>
      <c r="K413">
        <f t="shared" si="92"/>
        <v>0</v>
      </c>
      <c r="L413">
        <f t="shared" si="93"/>
        <v>5.157818335805231E-2</v>
      </c>
      <c r="M413">
        <f t="shared" si="94"/>
        <v>0.10315636671610462</v>
      </c>
      <c r="N413">
        <f t="shared" si="95"/>
        <v>0.15473455007415693</v>
      </c>
      <c r="O413">
        <f t="shared" si="96"/>
        <v>0.20631273343220924</v>
      </c>
      <c r="P413">
        <f t="shared" si="97"/>
        <v>0.25789091679026155</v>
      </c>
    </row>
    <row r="414" spans="1:16" x14ac:dyDescent="0.3">
      <c r="A414" s="6">
        <v>46404</v>
      </c>
      <c r="B414" s="8">
        <f t="shared" si="85"/>
        <v>17</v>
      </c>
      <c r="C414" s="8">
        <f t="shared" si="86"/>
        <v>23</v>
      </c>
      <c r="D414" s="7">
        <f t="shared" si="87"/>
        <v>0.23039863958747295</v>
      </c>
      <c r="F414">
        <f t="shared" si="84"/>
        <v>-0.23039863958747295</v>
      </c>
      <c r="G414">
        <f t="shared" si="88"/>
        <v>-0.18431891166997838</v>
      </c>
      <c r="H414">
        <f t="shared" si="89"/>
        <v>-0.13823918375248376</v>
      </c>
      <c r="I414">
        <f t="shared" si="90"/>
        <v>-9.215945583498919E-2</v>
      </c>
      <c r="J414">
        <f t="shared" si="91"/>
        <v>-4.6079727917494595E-2</v>
      </c>
      <c r="K414">
        <f t="shared" si="92"/>
        <v>0</v>
      </c>
      <c r="L414">
        <f t="shared" si="93"/>
        <v>4.6079727917494595E-2</v>
      </c>
      <c r="M414">
        <f t="shared" si="94"/>
        <v>9.215945583498919E-2</v>
      </c>
      <c r="N414">
        <f t="shared" si="95"/>
        <v>0.13823918375248376</v>
      </c>
      <c r="O414">
        <f t="shared" si="96"/>
        <v>0.18431891166997838</v>
      </c>
      <c r="P414">
        <f t="shared" si="97"/>
        <v>0.23039863958747295</v>
      </c>
    </row>
    <row r="415" spans="1:16" x14ac:dyDescent="0.3">
      <c r="A415" s="6">
        <v>46405</v>
      </c>
      <c r="B415" s="8">
        <f t="shared" si="85"/>
        <v>18</v>
      </c>
      <c r="C415" s="8">
        <f t="shared" si="86"/>
        <v>24</v>
      </c>
      <c r="D415" s="7">
        <f t="shared" si="87"/>
        <v>0.2035533905932739</v>
      </c>
      <c r="F415">
        <f t="shared" si="84"/>
        <v>-0.2035533905932739</v>
      </c>
      <c r="G415">
        <f t="shared" si="88"/>
        <v>-0.16284271247461912</v>
      </c>
      <c r="H415">
        <f t="shared" si="89"/>
        <v>-0.12213203435596434</v>
      </c>
      <c r="I415">
        <f t="shared" si="90"/>
        <v>-8.1421356237309561E-2</v>
      </c>
      <c r="J415">
        <f t="shared" si="91"/>
        <v>-4.0710678118654781E-2</v>
      </c>
      <c r="K415">
        <f t="shared" si="92"/>
        <v>0</v>
      </c>
      <c r="L415">
        <f t="shared" si="93"/>
        <v>4.0710678118654781E-2</v>
      </c>
      <c r="M415">
        <f t="shared" si="94"/>
        <v>8.1421356237309561E-2</v>
      </c>
      <c r="N415">
        <f t="shared" si="95"/>
        <v>0.12213203435596434</v>
      </c>
      <c r="O415">
        <f t="shared" si="96"/>
        <v>0.16284271247461912</v>
      </c>
      <c r="P415">
        <f t="shared" si="97"/>
        <v>0.2035533905932739</v>
      </c>
    </row>
    <row r="416" spans="1:16" x14ac:dyDescent="0.3">
      <c r="A416" s="6">
        <v>46406</v>
      </c>
      <c r="B416" s="8">
        <f t="shared" si="85"/>
        <v>19</v>
      </c>
      <c r="C416" s="8">
        <f t="shared" si="86"/>
        <v>25</v>
      </c>
      <c r="D416" s="7">
        <f t="shared" si="87"/>
        <v>0.17737115786214283</v>
      </c>
      <c r="F416">
        <f t="shared" si="84"/>
        <v>-0.17737115786214283</v>
      </c>
      <c r="G416">
        <f t="shared" si="88"/>
        <v>-0.14189692628971426</v>
      </c>
      <c r="H416">
        <f t="shared" si="89"/>
        <v>-0.1064226947172857</v>
      </c>
      <c r="I416">
        <f t="shared" si="90"/>
        <v>-7.094846314485713E-2</v>
      </c>
      <c r="J416">
        <f t="shared" si="91"/>
        <v>-3.5474231572428565E-2</v>
      </c>
      <c r="K416">
        <f t="shared" si="92"/>
        <v>0</v>
      </c>
      <c r="L416">
        <f t="shared" si="93"/>
        <v>3.5474231572428565E-2</v>
      </c>
      <c r="M416">
        <f t="shared" si="94"/>
        <v>7.094846314485713E-2</v>
      </c>
      <c r="N416">
        <f t="shared" si="95"/>
        <v>0.1064226947172857</v>
      </c>
      <c r="O416">
        <f t="shared" si="96"/>
        <v>0.14189692628971426</v>
      </c>
      <c r="P416">
        <f t="shared" si="97"/>
        <v>0.17737115786214283</v>
      </c>
    </row>
    <row r="417" spans="1:16" x14ac:dyDescent="0.3">
      <c r="A417" s="6">
        <v>46407</v>
      </c>
      <c r="B417" s="8">
        <f t="shared" si="85"/>
        <v>20</v>
      </c>
      <c r="C417" s="8">
        <f t="shared" si="86"/>
        <v>26</v>
      </c>
      <c r="D417" s="7">
        <f t="shared" si="87"/>
        <v>0.15186917696247162</v>
      </c>
      <c r="F417">
        <f t="shared" si="84"/>
        <v>-0.15186917696247162</v>
      </c>
      <c r="G417">
        <f t="shared" si="88"/>
        <v>-0.12149534156997731</v>
      </c>
      <c r="H417">
        <f t="shared" si="89"/>
        <v>-9.1121506177482978E-2</v>
      </c>
      <c r="I417">
        <f t="shared" si="90"/>
        <v>-6.0747670784988654E-2</v>
      </c>
      <c r="J417">
        <f t="shared" si="91"/>
        <v>-3.0373835392494327E-2</v>
      </c>
      <c r="K417">
        <f t="shared" si="92"/>
        <v>0</v>
      </c>
      <c r="L417">
        <f t="shared" si="93"/>
        <v>3.0373835392494327E-2</v>
      </c>
      <c r="M417">
        <f t="shared" si="94"/>
        <v>6.0747670784988654E-2</v>
      </c>
      <c r="N417">
        <f t="shared" si="95"/>
        <v>9.1121506177482978E-2</v>
      </c>
      <c r="O417">
        <f t="shared" si="96"/>
        <v>0.12149534156997731</v>
      </c>
      <c r="P417">
        <f t="shared" si="97"/>
        <v>0.15186917696247162</v>
      </c>
    </row>
    <row r="418" spans="1:16" x14ac:dyDescent="0.3">
      <c r="A418" s="6">
        <v>46408</v>
      </c>
      <c r="B418" s="8">
        <f t="shared" si="85"/>
        <v>21</v>
      </c>
      <c r="C418" s="8">
        <f t="shared" si="86"/>
        <v>27</v>
      </c>
      <c r="D418" s="7">
        <f t="shared" si="87"/>
        <v>0.12706610222111261</v>
      </c>
      <c r="F418">
        <f t="shared" si="84"/>
        <v>-0.12706610222111261</v>
      </c>
      <c r="G418">
        <f t="shared" si="88"/>
        <v>-0.10165288177689009</v>
      </c>
      <c r="H418">
        <f t="shared" si="89"/>
        <v>-7.623966133266756E-2</v>
      </c>
      <c r="I418">
        <f t="shared" si="90"/>
        <v>-5.0826440888445047E-2</v>
      </c>
      <c r="J418">
        <f t="shared" si="91"/>
        <v>-2.5413220444222524E-2</v>
      </c>
      <c r="K418">
        <f t="shared" si="92"/>
        <v>0</v>
      </c>
      <c r="L418">
        <f t="shared" si="93"/>
        <v>2.5413220444222524E-2</v>
      </c>
      <c r="M418">
        <f t="shared" si="94"/>
        <v>5.0826440888445047E-2</v>
      </c>
      <c r="N418">
        <f t="shared" si="95"/>
        <v>7.623966133266756E-2</v>
      </c>
      <c r="O418">
        <f t="shared" si="96"/>
        <v>0.10165288177689009</v>
      </c>
      <c r="P418">
        <f t="shared" si="97"/>
        <v>0.12706610222111261</v>
      </c>
    </row>
    <row r="419" spans="1:16" x14ac:dyDescent="0.3">
      <c r="A419" s="6">
        <v>46409</v>
      </c>
      <c r="B419" s="8">
        <f t="shared" si="85"/>
        <v>22</v>
      </c>
      <c r="C419" s="8">
        <f t="shared" si="86"/>
        <v>28</v>
      </c>
      <c r="D419" s="7">
        <f t="shared" si="87"/>
        <v>0.10298221281347045</v>
      </c>
      <c r="F419">
        <f t="shared" si="84"/>
        <v>-0.10298221281347045</v>
      </c>
      <c r="G419">
        <f t="shared" si="88"/>
        <v>-8.2385770250776369E-2</v>
      </c>
      <c r="H419">
        <f t="shared" si="89"/>
        <v>-6.1789327688082263E-2</v>
      </c>
      <c r="I419">
        <f t="shared" si="90"/>
        <v>-4.1192885125388184E-2</v>
      </c>
      <c r="J419">
        <f t="shared" si="91"/>
        <v>-2.0596442562694092E-2</v>
      </c>
      <c r="K419">
        <f t="shared" si="92"/>
        <v>0</v>
      </c>
      <c r="L419">
        <f t="shared" si="93"/>
        <v>2.0596442562694092E-2</v>
      </c>
      <c r="M419">
        <f t="shared" si="94"/>
        <v>4.1192885125388184E-2</v>
      </c>
      <c r="N419">
        <f t="shared" si="95"/>
        <v>6.1789327688082263E-2</v>
      </c>
      <c r="O419">
        <f t="shared" si="96"/>
        <v>8.2385770250776369E-2</v>
      </c>
      <c r="P419">
        <f t="shared" si="97"/>
        <v>0.10298221281347045</v>
      </c>
    </row>
    <row r="420" spans="1:16" x14ac:dyDescent="0.3">
      <c r="A420" s="6">
        <v>46410</v>
      </c>
      <c r="B420" s="8">
        <f t="shared" si="85"/>
        <v>23</v>
      </c>
      <c r="C420" s="8">
        <f t="shared" si="86"/>
        <v>29</v>
      </c>
      <c r="D420" s="7">
        <f t="shared" si="87"/>
        <v>7.9639663385923071E-2</v>
      </c>
      <c r="F420">
        <f t="shared" si="84"/>
        <v>-7.9639663385923071E-2</v>
      </c>
      <c r="G420">
        <f t="shared" si="88"/>
        <v>-6.3711730708738465E-2</v>
      </c>
      <c r="H420">
        <f t="shared" si="89"/>
        <v>-4.7783798031553838E-2</v>
      </c>
      <c r="I420">
        <f t="shared" si="90"/>
        <v>-3.1855865354369232E-2</v>
      </c>
      <c r="J420">
        <f t="shared" si="91"/>
        <v>-1.5927932677184616E-2</v>
      </c>
      <c r="K420">
        <f t="shared" si="92"/>
        <v>0</v>
      </c>
      <c r="L420">
        <f t="shared" si="93"/>
        <v>1.5927932677184616E-2</v>
      </c>
      <c r="M420">
        <f t="shared" si="94"/>
        <v>3.1855865354369232E-2</v>
      </c>
      <c r="N420">
        <f t="shared" si="95"/>
        <v>4.7783798031553838E-2</v>
      </c>
      <c r="O420">
        <f t="shared" si="96"/>
        <v>6.3711730708738465E-2</v>
      </c>
      <c r="P420">
        <f t="shared" si="97"/>
        <v>7.9639663385923071E-2</v>
      </c>
    </row>
    <row r="421" spans="1:16" x14ac:dyDescent="0.3">
      <c r="A421" s="6">
        <v>46411</v>
      </c>
      <c r="B421" s="8">
        <f t="shared" si="85"/>
        <v>24</v>
      </c>
      <c r="C421" s="8">
        <f t="shared" si="86"/>
        <v>30</v>
      </c>
      <c r="D421" s="7">
        <f t="shared" si="87"/>
        <v>5.7062792408486662E-2</v>
      </c>
      <c r="F421">
        <f t="shared" si="84"/>
        <v>-5.7062792408486662E-2</v>
      </c>
      <c r="G421">
        <f t="shared" si="88"/>
        <v>-4.5650233926789331E-2</v>
      </c>
      <c r="H421">
        <f t="shared" si="89"/>
        <v>-3.4237675445091993E-2</v>
      </c>
      <c r="I421">
        <f t="shared" si="90"/>
        <v>-2.2825116963394666E-2</v>
      </c>
      <c r="J421">
        <f t="shared" si="91"/>
        <v>-1.1412558481697333E-2</v>
      </c>
      <c r="K421">
        <f t="shared" si="92"/>
        <v>0</v>
      </c>
      <c r="L421">
        <f t="shared" si="93"/>
        <v>1.1412558481697333E-2</v>
      </c>
      <c r="M421">
        <f t="shared" si="94"/>
        <v>2.2825116963394666E-2</v>
      </c>
      <c r="N421">
        <f t="shared" si="95"/>
        <v>3.4237675445091993E-2</v>
      </c>
      <c r="O421">
        <f t="shared" si="96"/>
        <v>4.5650233926789331E-2</v>
      </c>
      <c r="P421">
        <f t="shared" si="97"/>
        <v>5.7062792408486662E-2</v>
      </c>
    </row>
    <row r="422" spans="1:16" x14ac:dyDescent="0.3">
      <c r="A422" s="6">
        <v>46412</v>
      </c>
      <c r="B422" s="8">
        <f t="shared" si="85"/>
        <v>25</v>
      </c>
      <c r="C422" s="8">
        <f t="shared" si="86"/>
        <v>31</v>
      </c>
      <c r="D422" s="7">
        <f t="shared" si="87"/>
        <v>3.5278506578610036E-2</v>
      </c>
      <c r="F422">
        <f t="shared" si="84"/>
        <v>-3.5278506578610036E-2</v>
      </c>
      <c r="G422">
        <f t="shared" si="88"/>
        <v>-2.8222805262888031E-2</v>
      </c>
      <c r="H422">
        <f t="shared" si="89"/>
        <v>-2.1167103947166022E-2</v>
      </c>
      <c r="I422">
        <f t="shared" si="90"/>
        <v>-1.4111402631444015E-2</v>
      </c>
      <c r="J422">
        <f t="shared" si="91"/>
        <v>-7.0557013157220077E-3</v>
      </c>
      <c r="K422">
        <f t="shared" si="92"/>
        <v>0</v>
      </c>
      <c r="L422">
        <f t="shared" si="93"/>
        <v>7.0557013157220077E-3</v>
      </c>
      <c r="M422">
        <f t="shared" si="94"/>
        <v>1.4111402631444015E-2</v>
      </c>
      <c r="N422">
        <f t="shared" si="95"/>
        <v>2.1167103947166022E-2</v>
      </c>
      <c r="O422">
        <f t="shared" si="96"/>
        <v>2.8222805262888031E-2</v>
      </c>
      <c r="P422">
        <f t="shared" si="97"/>
        <v>3.5278506578610036E-2</v>
      </c>
    </row>
    <row r="423" spans="1:16" x14ac:dyDescent="0.3">
      <c r="A423" s="6">
        <v>46413</v>
      </c>
      <c r="B423" s="8">
        <f t="shared" si="85"/>
        <v>26</v>
      </c>
      <c r="C423" s="8">
        <f t="shared" si="86"/>
        <v>32</v>
      </c>
      <c r="D423" s="7">
        <f t="shared" si="87"/>
        <v>1.4316767251549872E-2</v>
      </c>
      <c r="F423">
        <f t="shared" si="84"/>
        <v>-1.4316767251549872E-2</v>
      </c>
      <c r="G423">
        <f t="shared" si="88"/>
        <v>-1.1453413801239898E-2</v>
      </c>
      <c r="H423">
        <f t="shared" si="89"/>
        <v>-8.5900603509299223E-3</v>
      </c>
      <c r="I423">
        <f t="shared" si="90"/>
        <v>-5.7267069006199491E-3</v>
      </c>
      <c r="J423">
        <f t="shared" si="91"/>
        <v>-2.8633534503099745E-3</v>
      </c>
      <c r="K423">
        <f t="shared" si="92"/>
        <v>0</v>
      </c>
      <c r="L423">
        <f t="shared" si="93"/>
        <v>2.8633534503099745E-3</v>
      </c>
      <c r="M423">
        <f t="shared" si="94"/>
        <v>5.7267069006199491E-3</v>
      </c>
      <c r="N423">
        <f t="shared" si="95"/>
        <v>8.5900603509299223E-3</v>
      </c>
      <c r="O423">
        <f t="shared" si="96"/>
        <v>1.1453413801239898E-2</v>
      </c>
      <c r="P423">
        <f t="shared" si="97"/>
        <v>1.4316767251549872E-2</v>
      </c>
    </row>
    <row r="424" spans="1:16" x14ac:dyDescent="0.3">
      <c r="A424" s="6">
        <v>46414</v>
      </c>
      <c r="B424" s="8">
        <f t="shared" si="85"/>
        <v>27</v>
      </c>
      <c r="C424" s="8">
        <f t="shared" si="86"/>
        <v>33</v>
      </c>
      <c r="D424" s="7">
        <f t="shared" si="87"/>
        <v>-5.788783376604073E-3</v>
      </c>
      <c r="F424">
        <f t="shared" si="84"/>
        <v>5.788783376604073E-3</v>
      </c>
      <c r="G424">
        <f t="shared" si="88"/>
        <v>4.6310267012832588E-3</v>
      </c>
      <c r="H424">
        <f t="shared" si="89"/>
        <v>3.4732700259624437E-3</v>
      </c>
      <c r="I424">
        <f t="shared" si="90"/>
        <v>2.3155133506416294E-3</v>
      </c>
      <c r="J424">
        <f t="shared" si="91"/>
        <v>1.1577566753208147E-3</v>
      </c>
      <c r="K424">
        <f t="shared" si="92"/>
        <v>0</v>
      </c>
      <c r="L424">
        <f t="shared" si="93"/>
        <v>-1.1577566753208147E-3</v>
      </c>
      <c r="M424">
        <f t="shared" si="94"/>
        <v>-2.3155133506416294E-3</v>
      </c>
      <c r="N424">
        <f t="shared" si="95"/>
        <v>-3.4732700259624437E-3</v>
      </c>
      <c r="O424">
        <f t="shared" si="96"/>
        <v>-4.6310267012832588E-3</v>
      </c>
      <c r="P424">
        <f t="shared" si="97"/>
        <v>-5.788783376604073E-3</v>
      </c>
    </row>
    <row r="425" spans="1:16" x14ac:dyDescent="0.3">
      <c r="A425" s="6">
        <v>46415</v>
      </c>
      <c r="B425" s="8">
        <f t="shared" si="85"/>
        <v>28</v>
      </c>
      <c r="C425" s="8">
        <f t="shared" si="86"/>
        <v>34</v>
      </c>
      <c r="D425" s="7">
        <f t="shared" si="87"/>
        <v>-2.4999999999999911E-2</v>
      </c>
      <c r="F425">
        <f t="shared" si="84"/>
        <v>2.4999999999999911E-2</v>
      </c>
      <c r="G425">
        <f t="shared" si="88"/>
        <v>1.9999999999999931E-2</v>
      </c>
      <c r="H425">
        <f t="shared" si="89"/>
        <v>1.4999999999999946E-2</v>
      </c>
      <c r="I425">
        <f t="shared" si="90"/>
        <v>9.9999999999999655E-3</v>
      </c>
      <c r="J425">
        <f t="shared" si="91"/>
        <v>4.9999999999999828E-3</v>
      </c>
      <c r="K425">
        <f t="shared" si="92"/>
        <v>0</v>
      </c>
      <c r="L425">
        <f t="shared" si="93"/>
        <v>-4.9999999999999828E-3</v>
      </c>
      <c r="M425">
        <f t="shared" si="94"/>
        <v>-9.9999999999999655E-3</v>
      </c>
      <c r="N425">
        <f t="shared" si="95"/>
        <v>-1.4999999999999946E-2</v>
      </c>
      <c r="O425">
        <f t="shared" si="96"/>
        <v>-1.9999999999999931E-2</v>
      </c>
      <c r="P425">
        <f t="shared" si="97"/>
        <v>-2.4999999999999911E-2</v>
      </c>
    </row>
    <row r="426" spans="1:16" x14ac:dyDescent="0.3">
      <c r="A426" s="6">
        <v>46416</v>
      </c>
      <c r="B426" s="8">
        <f t="shared" si="85"/>
        <v>29</v>
      </c>
      <c r="C426" s="8">
        <f t="shared" si="86"/>
        <v>35</v>
      </c>
      <c r="D426" s="7">
        <f t="shared" si="87"/>
        <v>-4.3273128969317107E-2</v>
      </c>
      <c r="F426">
        <f t="shared" si="84"/>
        <v>4.3273128969317107E-2</v>
      </c>
      <c r="G426">
        <f t="shared" si="88"/>
        <v>3.4618503175453688E-2</v>
      </c>
      <c r="H426">
        <f t="shared" si="89"/>
        <v>2.5963877381590263E-2</v>
      </c>
      <c r="I426">
        <f t="shared" si="90"/>
        <v>1.7309251587726844E-2</v>
      </c>
      <c r="J426">
        <f t="shared" si="91"/>
        <v>8.654625793863422E-3</v>
      </c>
      <c r="K426">
        <f t="shared" si="92"/>
        <v>0</v>
      </c>
      <c r="L426">
        <f t="shared" si="93"/>
        <v>-8.654625793863422E-3</v>
      </c>
      <c r="M426">
        <f t="shared" si="94"/>
        <v>-1.7309251587726844E-2</v>
      </c>
      <c r="N426">
        <f t="shared" si="95"/>
        <v>-2.5963877381590263E-2</v>
      </c>
      <c r="O426">
        <f t="shared" si="96"/>
        <v>-3.4618503175453688E-2</v>
      </c>
      <c r="P426">
        <f t="shared" si="97"/>
        <v>-4.3273128969317107E-2</v>
      </c>
    </row>
    <row r="427" spans="1:16" x14ac:dyDescent="0.3">
      <c r="A427" s="6">
        <v>46417</v>
      </c>
      <c r="B427" s="8">
        <f t="shared" si="85"/>
        <v>30</v>
      </c>
      <c r="C427" s="8">
        <f t="shared" si="86"/>
        <v>36</v>
      </c>
      <c r="D427" s="7">
        <f t="shared" si="87"/>
        <v>-6.0557280900008378E-2</v>
      </c>
      <c r="F427">
        <f t="shared" si="84"/>
        <v>6.0557280900008378E-2</v>
      </c>
      <c r="G427">
        <f t="shared" si="88"/>
        <v>4.8445824720006705E-2</v>
      </c>
      <c r="H427">
        <f t="shared" si="89"/>
        <v>3.6334368540005026E-2</v>
      </c>
      <c r="I427">
        <f t="shared" si="90"/>
        <v>2.4222912360003353E-2</v>
      </c>
      <c r="J427">
        <f t="shared" si="91"/>
        <v>1.2111456180001676E-2</v>
      </c>
      <c r="K427">
        <f t="shared" si="92"/>
        <v>0</v>
      </c>
      <c r="L427">
        <f t="shared" si="93"/>
        <v>-1.2111456180001676E-2</v>
      </c>
      <c r="M427">
        <f t="shared" si="94"/>
        <v>-2.4222912360003353E-2</v>
      </c>
      <c r="N427">
        <f t="shared" si="95"/>
        <v>-3.6334368540005026E-2</v>
      </c>
      <c r="O427">
        <f t="shared" si="96"/>
        <v>-4.8445824720006705E-2</v>
      </c>
      <c r="P427">
        <f t="shared" si="97"/>
        <v>-6.0557280900008378E-2</v>
      </c>
    </row>
    <row r="428" spans="1:16" x14ac:dyDescent="0.3">
      <c r="A428" s="6">
        <v>46418</v>
      </c>
      <c r="B428" s="8">
        <f t="shared" si="85"/>
        <v>31</v>
      </c>
      <c r="C428" s="8">
        <f t="shared" si="86"/>
        <v>37</v>
      </c>
      <c r="D428" s="7">
        <f t="shared" si="87"/>
        <v>-7.679224767826838E-2</v>
      </c>
      <c r="F428">
        <f t="shared" si="84"/>
        <v>7.679224767826838E-2</v>
      </c>
      <c r="G428">
        <f t="shared" si="88"/>
        <v>6.143379814261471E-2</v>
      </c>
      <c r="H428">
        <f t="shared" si="89"/>
        <v>4.6075348606961025E-2</v>
      </c>
      <c r="I428">
        <f t="shared" si="90"/>
        <v>3.0716899071307355E-2</v>
      </c>
      <c r="J428">
        <f t="shared" si="91"/>
        <v>1.5358449535653677E-2</v>
      </c>
      <c r="K428">
        <f t="shared" si="92"/>
        <v>0</v>
      </c>
      <c r="L428">
        <f t="shared" si="93"/>
        <v>-1.5358449535653677E-2</v>
      </c>
      <c r="M428">
        <f t="shared" si="94"/>
        <v>-3.0716899071307355E-2</v>
      </c>
      <c r="N428">
        <f t="shared" si="95"/>
        <v>-4.6075348606961025E-2</v>
      </c>
      <c r="O428">
        <f t="shared" si="96"/>
        <v>-6.143379814261471E-2</v>
      </c>
      <c r="P428">
        <f t="shared" si="97"/>
        <v>-7.679224767826838E-2</v>
      </c>
    </row>
    <row r="429" spans="1:16" x14ac:dyDescent="0.3">
      <c r="A429" s="6">
        <v>46419</v>
      </c>
      <c r="B429" s="8">
        <f t="shared" si="85"/>
        <v>32</v>
      </c>
      <c r="C429" s="8">
        <f t="shared" si="86"/>
        <v>38</v>
      </c>
      <c r="D429" s="7">
        <f t="shared" si="87"/>
        <v>-9.1905249806888661E-2</v>
      </c>
      <c r="F429">
        <f t="shared" si="84"/>
        <v>9.1905249806888661E-2</v>
      </c>
      <c r="G429">
        <f t="shared" si="88"/>
        <v>7.3524199845510937E-2</v>
      </c>
      <c r="H429">
        <f t="shared" si="89"/>
        <v>5.5143149884133193E-2</v>
      </c>
      <c r="I429">
        <f t="shared" si="90"/>
        <v>3.6762099922755469E-2</v>
      </c>
      <c r="J429">
        <f t="shared" si="91"/>
        <v>1.8381049961377734E-2</v>
      </c>
      <c r="K429">
        <f t="shared" si="92"/>
        <v>0</v>
      </c>
      <c r="L429">
        <f t="shared" si="93"/>
        <v>-1.8381049961377734E-2</v>
      </c>
      <c r="M429">
        <f t="shared" si="94"/>
        <v>-3.6762099922755469E-2</v>
      </c>
      <c r="N429">
        <f t="shared" si="95"/>
        <v>-5.5143149884133193E-2</v>
      </c>
      <c r="O429">
        <f t="shared" si="96"/>
        <v>-7.3524199845510937E-2</v>
      </c>
      <c r="P429">
        <f t="shared" si="97"/>
        <v>-9.1905249806888661E-2</v>
      </c>
    </row>
    <row r="430" spans="1:16" x14ac:dyDescent="0.3">
      <c r="A430" s="6">
        <v>46420</v>
      </c>
      <c r="B430" s="8">
        <f t="shared" si="85"/>
        <v>33</v>
      </c>
      <c r="C430" s="8">
        <f t="shared" si="86"/>
        <v>39</v>
      </c>
      <c r="D430" s="7">
        <f t="shared" si="87"/>
        <v>-0.10580582617584072</v>
      </c>
      <c r="F430">
        <f t="shared" si="84"/>
        <v>0.10580582617584072</v>
      </c>
      <c r="G430">
        <f t="shared" si="88"/>
        <v>8.4644660940672578E-2</v>
      </c>
      <c r="H430">
        <f t="shared" si="89"/>
        <v>6.3483495705504434E-2</v>
      </c>
      <c r="I430">
        <f t="shared" si="90"/>
        <v>4.2322330470336289E-2</v>
      </c>
      <c r="J430">
        <f t="shared" si="91"/>
        <v>2.1161165235168145E-2</v>
      </c>
      <c r="K430">
        <f t="shared" si="92"/>
        <v>0</v>
      </c>
      <c r="L430">
        <f t="shared" si="93"/>
        <v>-2.1161165235168145E-2</v>
      </c>
      <c r="M430">
        <f t="shared" si="94"/>
        <v>-4.2322330470336289E-2</v>
      </c>
      <c r="N430">
        <f t="shared" si="95"/>
        <v>-6.3483495705504434E-2</v>
      </c>
      <c r="O430">
        <f t="shared" si="96"/>
        <v>-8.4644660940672578E-2</v>
      </c>
      <c r="P430">
        <f t="shared" si="97"/>
        <v>-0.10580582617584072</v>
      </c>
    </row>
    <row r="431" spans="1:16" x14ac:dyDescent="0.3">
      <c r="A431" s="6">
        <v>46421</v>
      </c>
      <c r="B431" s="8">
        <f t="shared" si="85"/>
        <v>34</v>
      </c>
      <c r="C431" s="8">
        <f t="shared" si="86"/>
        <v>40</v>
      </c>
      <c r="D431" s="7">
        <f t="shared" si="87"/>
        <v>-0.11837722339831616</v>
      </c>
      <c r="F431">
        <f t="shared" ref="F431:F494" si="98">(-10/10) * D431</f>
        <v>0.11837722339831616</v>
      </c>
      <c r="G431">
        <f t="shared" si="88"/>
        <v>9.4701778718652929E-2</v>
      </c>
      <c r="H431">
        <f t="shared" si="89"/>
        <v>7.1026334038989697E-2</v>
      </c>
      <c r="I431">
        <f t="shared" si="90"/>
        <v>4.7350889359326465E-2</v>
      </c>
      <c r="J431">
        <f t="shared" si="91"/>
        <v>2.3675444679663232E-2</v>
      </c>
      <c r="K431">
        <f t="shared" si="92"/>
        <v>0</v>
      </c>
      <c r="L431">
        <f t="shared" si="93"/>
        <v>-2.3675444679663232E-2</v>
      </c>
      <c r="M431">
        <f t="shared" si="94"/>
        <v>-4.7350889359326465E-2</v>
      </c>
      <c r="N431">
        <f t="shared" si="95"/>
        <v>-7.1026334038989697E-2</v>
      </c>
      <c r="O431">
        <f t="shared" si="96"/>
        <v>-9.4701778718652929E-2</v>
      </c>
      <c r="P431">
        <f t="shared" si="97"/>
        <v>-0.11837722339831616</v>
      </c>
    </row>
    <row r="432" spans="1:16" x14ac:dyDescent="0.3">
      <c r="A432" s="6">
        <v>46422</v>
      </c>
      <c r="B432" s="8">
        <f t="shared" si="85"/>
        <v>35</v>
      </c>
      <c r="C432" s="8">
        <f t="shared" si="86"/>
        <v>41</v>
      </c>
      <c r="D432" s="7">
        <f t="shared" si="87"/>
        <v>-0.12946040409355619</v>
      </c>
      <c r="F432">
        <f t="shared" si="98"/>
        <v>0.12946040409355619</v>
      </c>
      <c r="G432">
        <f t="shared" si="88"/>
        <v>0.10356832327484496</v>
      </c>
      <c r="H432">
        <f t="shared" si="89"/>
        <v>7.7676242456133707E-2</v>
      </c>
      <c r="I432">
        <f t="shared" si="90"/>
        <v>5.1784161637422478E-2</v>
      </c>
      <c r="J432">
        <f t="shared" si="91"/>
        <v>2.5892080818711239E-2</v>
      </c>
      <c r="K432">
        <f t="shared" si="92"/>
        <v>0</v>
      </c>
      <c r="L432">
        <f t="shared" si="93"/>
        <v>-2.5892080818711239E-2</v>
      </c>
      <c r="M432">
        <f t="shared" si="94"/>
        <v>-5.1784161637422478E-2</v>
      </c>
      <c r="N432">
        <f t="shared" si="95"/>
        <v>-7.7676242456133707E-2</v>
      </c>
      <c r="O432">
        <f t="shared" si="96"/>
        <v>-0.10356832327484496</v>
      </c>
      <c r="P432">
        <f t="shared" si="97"/>
        <v>-0.12946040409355619</v>
      </c>
    </row>
    <row r="433" spans="1:16" x14ac:dyDescent="0.3">
      <c r="A433" s="6">
        <v>46423</v>
      </c>
      <c r="B433" s="8">
        <f t="shared" si="85"/>
        <v>36</v>
      </c>
      <c r="C433" s="8">
        <f t="shared" si="86"/>
        <v>42</v>
      </c>
      <c r="D433" s="7">
        <f t="shared" si="87"/>
        <v>-0.13881966011250102</v>
      </c>
      <c r="F433">
        <f t="shared" si="98"/>
        <v>0.13881966011250102</v>
      </c>
      <c r="G433">
        <f t="shared" si="88"/>
        <v>0.11105572809000082</v>
      </c>
      <c r="H433">
        <f t="shared" si="89"/>
        <v>8.3291796067500604E-2</v>
      </c>
      <c r="I433">
        <f t="shared" si="90"/>
        <v>5.5527864045000409E-2</v>
      </c>
      <c r="J433">
        <f t="shared" si="91"/>
        <v>2.7763932022500205E-2</v>
      </c>
      <c r="K433">
        <f t="shared" si="92"/>
        <v>0</v>
      </c>
      <c r="L433">
        <f t="shared" si="93"/>
        <v>-2.7763932022500205E-2</v>
      </c>
      <c r="M433">
        <f t="shared" si="94"/>
        <v>-5.5527864045000409E-2</v>
      </c>
      <c r="N433">
        <f t="shared" si="95"/>
        <v>-8.3291796067500604E-2</v>
      </c>
      <c r="O433">
        <f t="shared" si="96"/>
        <v>-0.11105572809000082</v>
      </c>
      <c r="P433">
        <f t="shared" si="97"/>
        <v>-0.13881966011250102</v>
      </c>
    </row>
    <row r="434" spans="1:16" x14ac:dyDescent="0.3">
      <c r="A434" s="6">
        <v>46424</v>
      </c>
      <c r="B434" s="8">
        <f t="shared" si="85"/>
        <v>37</v>
      </c>
      <c r="C434" s="8">
        <f t="shared" si="86"/>
        <v>43</v>
      </c>
      <c r="D434" s="7">
        <f t="shared" si="87"/>
        <v>-0.14604715292478948</v>
      </c>
      <c r="F434">
        <f t="shared" si="98"/>
        <v>0.14604715292478948</v>
      </c>
      <c r="G434">
        <f t="shared" si="88"/>
        <v>0.11683772233983158</v>
      </c>
      <c r="H434">
        <f t="shared" si="89"/>
        <v>8.7628291754873688E-2</v>
      </c>
      <c r="I434">
        <f t="shared" si="90"/>
        <v>5.8418861169915792E-2</v>
      </c>
      <c r="J434">
        <f t="shared" si="91"/>
        <v>2.9209430584957896E-2</v>
      </c>
      <c r="K434">
        <f t="shared" si="92"/>
        <v>0</v>
      </c>
      <c r="L434">
        <f t="shared" si="93"/>
        <v>-2.9209430584957896E-2</v>
      </c>
      <c r="M434">
        <f t="shared" si="94"/>
        <v>-5.8418861169915792E-2</v>
      </c>
      <c r="N434">
        <f t="shared" si="95"/>
        <v>-8.7628291754873688E-2</v>
      </c>
      <c r="O434">
        <f t="shared" si="96"/>
        <v>-0.11683772233983158</v>
      </c>
      <c r="P434">
        <f t="shared" si="97"/>
        <v>-0.14604715292478948</v>
      </c>
    </row>
    <row r="435" spans="1:16" x14ac:dyDescent="0.3">
      <c r="A435" s="6">
        <v>46425</v>
      </c>
      <c r="B435" s="8">
        <f t="shared" si="85"/>
        <v>38</v>
      </c>
      <c r="C435" s="8">
        <f t="shared" si="86"/>
        <v>44</v>
      </c>
      <c r="D435" s="7">
        <f t="shared" si="87"/>
        <v>-0.15</v>
      </c>
      <c r="F435">
        <f t="shared" si="98"/>
        <v>0.15</v>
      </c>
      <c r="G435">
        <f t="shared" si="88"/>
        <v>0.12</v>
      </c>
      <c r="H435">
        <f t="shared" si="89"/>
        <v>0.09</v>
      </c>
      <c r="I435">
        <f t="shared" si="90"/>
        <v>0.06</v>
      </c>
      <c r="J435">
        <f t="shared" si="91"/>
        <v>0.03</v>
      </c>
      <c r="K435">
        <f t="shared" si="92"/>
        <v>0</v>
      </c>
      <c r="L435">
        <f t="shared" si="93"/>
        <v>-0.03</v>
      </c>
      <c r="M435">
        <f t="shared" si="94"/>
        <v>-0.06</v>
      </c>
      <c r="N435">
        <f t="shared" si="95"/>
        <v>-0.09</v>
      </c>
      <c r="O435">
        <f t="shared" si="96"/>
        <v>-0.12</v>
      </c>
      <c r="P435">
        <f t="shared" si="97"/>
        <v>-0.15</v>
      </c>
    </row>
    <row r="436" spans="1:16" x14ac:dyDescent="0.3">
      <c r="A436" s="6">
        <v>46426</v>
      </c>
      <c r="B436" s="8">
        <f t="shared" si="85"/>
        <v>39</v>
      </c>
      <c r="C436" s="8">
        <f t="shared" si="86"/>
        <v>45</v>
      </c>
      <c r="D436" s="7">
        <f t="shared" si="87"/>
        <v>-0.15</v>
      </c>
      <c r="F436">
        <f t="shared" si="98"/>
        <v>0.15</v>
      </c>
      <c r="G436">
        <f t="shared" si="88"/>
        <v>0.12</v>
      </c>
      <c r="H436">
        <f t="shared" si="89"/>
        <v>0.09</v>
      </c>
      <c r="I436">
        <f t="shared" si="90"/>
        <v>0.06</v>
      </c>
      <c r="J436">
        <f t="shared" si="91"/>
        <v>0.03</v>
      </c>
      <c r="K436">
        <f t="shared" si="92"/>
        <v>0</v>
      </c>
      <c r="L436">
        <f t="shared" si="93"/>
        <v>-0.03</v>
      </c>
      <c r="M436">
        <f t="shared" si="94"/>
        <v>-0.06</v>
      </c>
      <c r="N436">
        <f t="shared" si="95"/>
        <v>-0.09</v>
      </c>
      <c r="O436">
        <f t="shared" si="96"/>
        <v>-0.12</v>
      </c>
      <c r="P436">
        <f t="shared" si="97"/>
        <v>-0.15</v>
      </c>
    </row>
    <row r="437" spans="1:16" x14ac:dyDescent="0.3">
      <c r="A437" s="6">
        <v>46427</v>
      </c>
      <c r="B437" s="8">
        <f t="shared" si="85"/>
        <v>40</v>
      </c>
      <c r="C437" s="8">
        <f t="shared" si="86"/>
        <v>46</v>
      </c>
      <c r="D437" s="7">
        <f t="shared" si="87"/>
        <v>-0.15</v>
      </c>
      <c r="F437">
        <f t="shared" si="98"/>
        <v>0.15</v>
      </c>
      <c r="G437">
        <f t="shared" si="88"/>
        <v>0.12</v>
      </c>
      <c r="H437">
        <f t="shared" si="89"/>
        <v>0.09</v>
      </c>
      <c r="I437">
        <f t="shared" si="90"/>
        <v>0.06</v>
      </c>
      <c r="J437">
        <f t="shared" si="91"/>
        <v>0.03</v>
      </c>
      <c r="K437">
        <f t="shared" si="92"/>
        <v>0</v>
      </c>
      <c r="L437">
        <f t="shared" si="93"/>
        <v>-0.03</v>
      </c>
      <c r="M437">
        <f t="shared" si="94"/>
        <v>-0.06</v>
      </c>
      <c r="N437">
        <f t="shared" si="95"/>
        <v>-0.09</v>
      </c>
      <c r="O437">
        <f t="shared" si="96"/>
        <v>-0.12</v>
      </c>
      <c r="P437">
        <f t="shared" si="97"/>
        <v>-0.15</v>
      </c>
    </row>
    <row r="438" spans="1:16" x14ac:dyDescent="0.3">
      <c r="A438" s="6">
        <v>46428</v>
      </c>
      <c r="B438" s="8">
        <f t="shared" si="85"/>
        <v>41</v>
      </c>
      <c r="C438" s="8">
        <f t="shared" si="86"/>
        <v>47</v>
      </c>
      <c r="D438" s="7">
        <f t="shared" si="87"/>
        <v>-0.15</v>
      </c>
      <c r="F438">
        <f t="shared" si="98"/>
        <v>0.15</v>
      </c>
      <c r="G438">
        <f t="shared" si="88"/>
        <v>0.12</v>
      </c>
      <c r="H438">
        <f t="shared" si="89"/>
        <v>0.09</v>
      </c>
      <c r="I438">
        <f t="shared" si="90"/>
        <v>0.06</v>
      </c>
      <c r="J438">
        <f t="shared" si="91"/>
        <v>0.03</v>
      </c>
      <c r="K438">
        <f t="shared" si="92"/>
        <v>0</v>
      </c>
      <c r="L438">
        <f t="shared" si="93"/>
        <v>-0.03</v>
      </c>
      <c r="M438">
        <f t="shared" si="94"/>
        <v>-0.06</v>
      </c>
      <c r="N438">
        <f t="shared" si="95"/>
        <v>-0.09</v>
      </c>
      <c r="O438">
        <f t="shared" si="96"/>
        <v>-0.12</v>
      </c>
      <c r="P438">
        <f t="shared" si="97"/>
        <v>-0.15</v>
      </c>
    </row>
    <row r="439" spans="1:16" x14ac:dyDescent="0.3">
      <c r="A439" s="6">
        <v>46429</v>
      </c>
      <c r="B439" s="8">
        <f t="shared" si="85"/>
        <v>42</v>
      </c>
      <c r="C439" s="8">
        <f t="shared" si="86"/>
        <v>48</v>
      </c>
      <c r="D439" s="7">
        <f t="shared" si="87"/>
        <v>-0.15</v>
      </c>
      <c r="F439">
        <f t="shared" si="98"/>
        <v>0.15</v>
      </c>
      <c r="G439">
        <f t="shared" si="88"/>
        <v>0.12</v>
      </c>
      <c r="H439">
        <f t="shared" si="89"/>
        <v>0.09</v>
      </c>
      <c r="I439">
        <f t="shared" si="90"/>
        <v>0.06</v>
      </c>
      <c r="J439">
        <f t="shared" si="91"/>
        <v>0.03</v>
      </c>
      <c r="K439">
        <f t="shared" si="92"/>
        <v>0</v>
      </c>
      <c r="L439">
        <f t="shared" si="93"/>
        <v>-0.03</v>
      </c>
      <c r="M439">
        <f t="shared" si="94"/>
        <v>-0.06</v>
      </c>
      <c r="N439">
        <f t="shared" si="95"/>
        <v>-0.09</v>
      </c>
      <c r="O439">
        <f t="shared" si="96"/>
        <v>-0.12</v>
      </c>
      <c r="P439">
        <f t="shared" si="97"/>
        <v>-0.15</v>
      </c>
    </row>
    <row r="440" spans="1:16" x14ac:dyDescent="0.3">
      <c r="A440" s="6">
        <v>46430</v>
      </c>
      <c r="B440" s="8">
        <f t="shared" si="85"/>
        <v>43</v>
      </c>
      <c r="C440" s="8">
        <f t="shared" si="86"/>
        <v>49</v>
      </c>
      <c r="D440" s="7">
        <f t="shared" si="87"/>
        <v>-0.15</v>
      </c>
      <c r="F440">
        <f t="shared" si="98"/>
        <v>0.15</v>
      </c>
      <c r="G440">
        <f t="shared" si="88"/>
        <v>0.12</v>
      </c>
      <c r="H440">
        <f t="shared" si="89"/>
        <v>0.09</v>
      </c>
      <c r="I440">
        <f t="shared" si="90"/>
        <v>0.06</v>
      </c>
      <c r="J440">
        <f t="shared" si="91"/>
        <v>0.03</v>
      </c>
      <c r="K440">
        <f t="shared" si="92"/>
        <v>0</v>
      </c>
      <c r="L440">
        <f t="shared" si="93"/>
        <v>-0.03</v>
      </c>
      <c r="M440">
        <f t="shared" si="94"/>
        <v>-0.06</v>
      </c>
      <c r="N440">
        <f t="shared" si="95"/>
        <v>-0.09</v>
      </c>
      <c r="O440">
        <f t="shared" si="96"/>
        <v>-0.12</v>
      </c>
      <c r="P440">
        <f t="shared" si="97"/>
        <v>-0.15</v>
      </c>
    </row>
    <row r="441" spans="1:16" x14ac:dyDescent="0.3">
      <c r="A441" s="6">
        <v>46431</v>
      </c>
      <c r="B441" s="8">
        <f t="shared" si="85"/>
        <v>44</v>
      </c>
      <c r="C441" s="8">
        <f t="shared" si="86"/>
        <v>50</v>
      </c>
      <c r="D441" s="7">
        <f t="shared" si="87"/>
        <v>-0.15</v>
      </c>
      <c r="F441">
        <f t="shared" si="98"/>
        <v>0.15</v>
      </c>
      <c r="G441">
        <f t="shared" si="88"/>
        <v>0.12</v>
      </c>
      <c r="H441">
        <f t="shared" si="89"/>
        <v>0.09</v>
      </c>
      <c r="I441">
        <f t="shared" si="90"/>
        <v>0.06</v>
      </c>
      <c r="J441">
        <f t="shared" si="91"/>
        <v>0.03</v>
      </c>
      <c r="K441">
        <f t="shared" si="92"/>
        <v>0</v>
      </c>
      <c r="L441">
        <f t="shared" si="93"/>
        <v>-0.03</v>
      </c>
      <c r="M441">
        <f t="shared" si="94"/>
        <v>-0.06</v>
      </c>
      <c r="N441">
        <f t="shared" si="95"/>
        <v>-0.09</v>
      </c>
      <c r="O441">
        <f t="shared" si="96"/>
        <v>-0.12</v>
      </c>
      <c r="P441">
        <f t="shared" si="97"/>
        <v>-0.15</v>
      </c>
    </row>
    <row r="442" spans="1:16" x14ac:dyDescent="0.3">
      <c r="A442" s="6">
        <v>46432</v>
      </c>
      <c r="B442" s="8">
        <f t="shared" si="85"/>
        <v>45</v>
      </c>
      <c r="C442" s="8">
        <f t="shared" si="86"/>
        <v>51</v>
      </c>
      <c r="D442" s="7">
        <f t="shared" si="87"/>
        <v>-0.15</v>
      </c>
      <c r="F442">
        <f t="shared" si="98"/>
        <v>0.15</v>
      </c>
      <c r="G442">
        <f t="shared" si="88"/>
        <v>0.12</v>
      </c>
      <c r="H442">
        <f t="shared" si="89"/>
        <v>0.09</v>
      </c>
      <c r="I442">
        <f t="shared" si="90"/>
        <v>0.06</v>
      </c>
      <c r="J442">
        <f t="shared" si="91"/>
        <v>0.03</v>
      </c>
      <c r="K442">
        <f t="shared" si="92"/>
        <v>0</v>
      </c>
      <c r="L442">
        <f t="shared" si="93"/>
        <v>-0.03</v>
      </c>
      <c r="M442">
        <f t="shared" si="94"/>
        <v>-0.06</v>
      </c>
      <c r="N442">
        <f t="shared" si="95"/>
        <v>-0.09</v>
      </c>
      <c r="O442">
        <f t="shared" si="96"/>
        <v>-0.12</v>
      </c>
      <c r="P442">
        <f t="shared" si="97"/>
        <v>-0.15</v>
      </c>
    </row>
    <row r="443" spans="1:16" x14ac:dyDescent="0.3">
      <c r="A443" s="6">
        <v>46433</v>
      </c>
      <c r="B443" s="8">
        <f t="shared" si="85"/>
        <v>46</v>
      </c>
      <c r="C443" s="8">
        <f t="shared" si="86"/>
        <v>52</v>
      </c>
      <c r="D443" s="7">
        <f t="shared" si="87"/>
        <v>-0.15</v>
      </c>
      <c r="F443">
        <f t="shared" si="98"/>
        <v>0.15</v>
      </c>
      <c r="G443">
        <f t="shared" si="88"/>
        <v>0.12</v>
      </c>
      <c r="H443">
        <f t="shared" si="89"/>
        <v>0.09</v>
      </c>
      <c r="I443">
        <f t="shared" si="90"/>
        <v>0.06</v>
      </c>
      <c r="J443">
        <f t="shared" si="91"/>
        <v>0.03</v>
      </c>
      <c r="K443">
        <f t="shared" si="92"/>
        <v>0</v>
      </c>
      <c r="L443">
        <f t="shared" si="93"/>
        <v>-0.03</v>
      </c>
      <c r="M443">
        <f t="shared" si="94"/>
        <v>-0.06</v>
      </c>
      <c r="N443">
        <f t="shared" si="95"/>
        <v>-0.09</v>
      </c>
      <c r="O443">
        <f t="shared" si="96"/>
        <v>-0.12</v>
      </c>
      <c r="P443">
        <f t="shared" si="97"/>
        <v>-0.15</v>
      </c>
    </row>
    <row r="444" spans="1:16" x14ac:dyDescent="0.3">
      <c r="A444" s="6">
        <v>46434</v>
      </c>
      <c r="B444" s="8">
        <f t="shared" si="85"/>
        <v>47</v>
      </c>
      <c r="C444" s="8">
        <f t="shared" si="86"/>
        <v>53</v>
      </c>
      <c r="D444" s="7">
        <f t="shared" si="87"/>
        <v>-0.15</v>
      </c>
      <c r="F444">
        <f t="shared" si="98"/>
        <v>0.15</v>
      </c>
      <c r="G444">
        <f t="shared" si="88"/>
        <v>0.12</v>
      </c>
      <c r="H444">
        <f t="shared" si="89"/>
        <v>0.09</v>
      </c>
      <c r="I444">
        <f t="shared" si="90"/>
        <v>0.06</v>
      </c>
      <c r="J444">
        <f t="shared" si="91"/>
        <v>0.03</v>
      </c>
      <c r="K444">
        <f t="shared" si="92"/>
        <v>0</v>
      </c>
      <c r="L444">
        <f t="shared" si="93"/>
        <v>-0.03</v>
      </c>
      <c r="M444">
        <f t="shared" si="94"/>
        <v>-0.06</v>
      </c>
      <c r="N444">
        <f t="shared" si="95"/>
        <v>-0.09</v>
      </c>
      <c r="O444">
        <f t="shared" si="96"/>
        <v>-0.12</v>
      </c>
      <c r="P444">
        <f t="shared" si="97"/>
        <v>-0.15</v>
      </c>
    </row>
    <row r="445" spans="1:16" x14ac:dyDescent="0.3">
      <c r="A445" s="6">
        <v>46435</v>
      </c>
      <c r="B445" s="8">
        <f t="shared" si="85"/>
        <v>48</v>
      </c>
      <c r="C445" s="8">
        <f t="shared" si="86"/>
        <v>54</v>
      </c>
      <c r="D445" s="7">
        <f t="shared" si="87"/>
        <v>-0.15</v>
      </c>
      <c r="F445">
        <f t="shared" si="98"/>
        <v>0.15</v>
      </c>
      <c r="G445">
        <f t="shared" si="88"/>
        <v>0.12</v>
      </c>
      <c r="H445">
        <f t="shared" si="89"/>
        <v>0.09</v>
      </c>
      <c r="I445">
        <f t="shared" si="90"/>
        <v>0.06</v>
      </c>
      <c r="J445">
        <f t="shared" si="91"/>
        <v>0.03</v>
      </c>
      <c r="K445">
        <f t="shared" si="92"/>
        <v>0</v>
      </c>
      <c r="L445">
        <f t="shared" si="93"/>
        <v>-0.03</v>
      </c>
      <c r="M445">
        <f t="shared" si="94"/>
        <v>-0.06</v>
      </c>
      <c r="N445">
        <f t="shared" si="95"/>
        <v>-0.09</v>
      </c>
      <c r="O445">
        <f t="shared" si="96"/>
        <v>-0.12</v>
      </c>
      <c r="P445">
        <f t="shared" si="97"/>
        <v>-0.15</v>
      </c>
    </row>
    <row r="446" spans="1:16" x14ac:dyDescent="0.3">
      <c r="A446" s="6">
        <v>46436</v>
      </c>
      <c r="B446" s="8">
        <f t="shared" si="85"/>
        <v>49</v>
      </c>
      <c r="C446" s="8">
        <f t="shared" si="86"/>
        <v>55</v>
      </c>
      <c r="D446" s="7">
        <f t="shared" si="87"/>
        <v>-0.15</v>
      </c>
      <c r="F446">
        <f t="shared" si="98"/>
        <v>0.15</v>
      </c>
      <c r="G446">
        <f t="shared" si="88"/>
        <v>0.12</v>
      </c>
      <c r="H446">
        <f t="shared" si="89"/>
        <v>0.09</v>
      </c>
      <c r="I446">
        <f t="shared" si="90"/>
        <v>0.06</v>
      </c>
      <c r="J446">
        <f t="shared" si="91"/>
        <v>0.03</v>
      </c>
      <c r="K446">
        <f t="shared" si="92"/>
        <v>0</v>
      </c>
      <c r="L446">
        <f t="shared" si="93"/>
        <v>-0.03</v>
      </c>
      <c r="M446">
        <f t="shared" si="94"/>
        <v>-0.06</v>
      </c>
      <c r="N446">
        <f t="shared" si="95"/>
        <v>-0.09</v>
      </c>
      <c r="O446">
        <f t="shared" si="96"/>
        <v>-0.12</v>
      </c>
      <c r="P446">
        <f t="shared" si="97"/>
        <v>-0.15</v>
      </c>
    </row>
    <row r="447" spans="1:16" x14ac:dyDescent="0.3">
      <c r="A447" s="6">
        <v>46437</v>
      </c>
      <c r="B447" s="8">
        <f t="shared" si="85"/>
        <v>50</v>
      </c>
      <c r="C447" s="8">
        <f t="shared" si="86"/>
        <v>56</v>
      </c>
      <c r="D447" s="7">
        <f t="shared" si="87"/>
        <v>-0.15</v>
      </c>
      <c r="F447">
        <f t="shared" si="98"/>
        <v>0.15</v>
      </c>
      <c r="G447">
        <f t="shared" si="88"/>
        <v>0.12</v>
      </c>
      <c r="H447">
        <f t="shared" si="89"/>
        <v>0.09</v>
      </c>
      <c r="I447">
        <f t="shared" si="90"/>
        <v>0.06</v>
      </c>
      <c r="J447">
        <f t="shared" si="91"/>
        <v>0.03</v>
      </c>
      <c r="K447">
        <f t="shared" si="92"/>
        <v>0</v>
      </c>
      <c r="L447">
        <f t="shared" si="93"/>
        <v>-0.03</v>
      </c>
      <c r="M447">
        <f t="shared" si="94"/>
        <v>-0.06</v>
      </c>
      <c r="N447">
        <f t="shared" si="95"/>
        <v>-0.09</v>
      </c>
      <c r="O447">
        <f t="shared" si="96"/>
        <v>-0.12</v>
      </c>
      <c r="P447">
        <f t="shared" si="97"/>
        <v>-0.15</v>
      </c>
    </row>
    <row r="448" spans="1:16" x14ac:dyDescent="0.3">
      <c r="A448" s="6">
        <v>46438</v>
      </c>
      <c r="B448" s="8">
        <f t="shared" si="85"/>
        <v>51</v>
      </c>
      <c r="C448" s="8">
        <f t="shared" si="86"/>
        <v>57</v>
      </c>
      <c r="D448" s="7">
        <f t="shared" si="87"/>
        <v>-0.15</v>
      </c>
      <c r="F448">
        <f t="shared" si="98"/>
        <v>0.15</v>
      </c>
      <c r="G448">
        <f t="shared" si="88"/>
        <v>0.12</v>
      </c>
      <c r="H448">
        <f t="shared" si="89"/>
        <v>0.09</v>
      </c>
      <c r="I448">
        <f t="shared" si="90"/>
        <v>0.06</v>
      </c>
      <c r="J448">
        <f t="shared" si="91"/>
        <v>0.03</v>
      </c>
      <c r="K448">
        <f t="shared" si="92"/>
        <v>0</v>
      </c>
      <c r="L448">
        <f t="shared" si="93"/>
        <v>-0.03</v>
      </c>
      <c r="M448">
        <f t="shared" si="94"/>
        <v>-0.06</v>
      </c>
      <c r="N448">
        <f t="shared" si="95"/>
        <v>-0.09</v>
      </c>
      <c r="O448">
        <f t="shared" si="96"/>
        <v>-0.12</v>
      </c>
      <c r="P448">
        <f t="shared" si="97"/>
        <v>-0.15</v>
      </c>
    </row>
    <row r="449" spans="1:16" x14ac:dyDescent="0.3">
      <c r="A449" s="6">
        <v>46439</v>
      </c>
      <c r="B449" s="8">
        <f t="shared" si="85"/>
        <v>52</v>
      </c>
      <c r="C449" s="8">
        <f t="shared" si="86"/>
        <v>58</v>
      </c>
      <c r="D449" s="7">
        <f t="shared" si="87"/>
        <v>-0.15</v>
      </c>
      <c r="F449">
        <f t="shared" si="98"/>
        <v>0.15</v>
      </c>
      <c r="G449">
        <f t="shared" si="88"/>
        <v>0.12</v>
      </c>
      <c r="H449">
        <f t="shared" si="89"/>
        <v>0.09</v>
      </c>
      <c r="I449">
        <f t="shared" si="90"/>
        <v>0.06</v>
      </c>
      <c r="J449">
        <f t="shared" si="91"/>
        <v>0.03</v>
      </c>
      <c r="K449">
        <f t="shared" si="92"/>
        <v>0</v>
      </c>
      <c r="L449">
        <f t="shared" si="93"/>
        <v>-0.03</v>
      </c>
      <c r="M449">
        <f t="shared" si="94"/>
        <v>-0.06</v>
      </c>
      <c r="N449">
        <f t="shared" si="95"/>
        <v>-0.09</v>
      </c>
      <c r="O449">
        <f t="shared" si="96"/>
        <v>-0.12</v>
      </c>
      <c r="P449">
        <f t="shared" si="97"/>
        <v>-0.15</v>
      </c>
    </row>
    <row r="450" spans="1:16" x14ac:dyDescent="0.3">
      <c r="A450" s="6">
        <v>46440</v>
      </c>
      <c r="B450" s="8">
        <f t="shared" si="85"/>
        <v>53</v>
      </c>
      <c r="C450" s="8">
        <f t="shared" si="86"/>
        <v>59</v>
      </c>
      <c r="D450" s="7">
        <f t="shared" si="87"/>
        <v>-0.15</v>
      </c>
      <c r="F450">
        <f t="shared" si="98"/>
        <v>0.15</v>
      </c>
      <c r="G450">
        <f t="shared" si="88"/>
        <v>0.12</v>
      </c>
      <c r="H450">
        <f t="shared" si="89"/>
        <v>0.09</v>
      </c>
      <c r="I450">
        <f t="shared" si="90"/>
        <v>0.06</v>
      </c>
      <c r="J450">
        <f t="shared" si="91"/>
        <v>0.03</v>
      </c>
      <c r="K450">
        <f t="shared" si="92"/>
        <v>0</v>
      </c>
      <c r="L450">
        <f t="shared" si="93"/>
        <v>-0.03</v>
      </c>
      <c r="M450">
        <f t="shared" si="94"/>
        <v>-0.06</v>
      </c>
      <c r="N450">
        <f t="shared" si="95"/>
        <v>-0.09</v>
      </c>
      <c r="O450">
        <f t="shared" si="96"/>
        <v>-0.12</v>
      </c>
      <c r="P450">
        <f t="shared" si="97"/>
        <v>-0.15</v>
      </c>
    </row>
    <row r="451" spans="1:16" x14ac:dyDescent="0.3">
      <c r="A451" s="6">
        <v>46441</v>
      </c>
      <c r="B451" s="8">
        <f t="shared" ref="B451:B514" si="99" xml:space="preserve"> A451 - DATE(YEAR(A451), 1, 1) + 1</f>
        <v>54</v>
      </c>
      <c r="C451" s="8">
        <f t="shared" ref="C451:C514" si="100">MIN(ABS(359-B451), 365-ABS(359-B451))</f>
        <v>60</v>
      </c>
      <c r="D451" s="7">
        <f t="shared" ref="D451:D514" si="101">MAX(0, $T$4 - (C451/$U$4)) ^ $T$7 - $U$7</f>
        <v>-0.15</v>
      </c>
      <c r="F451">
        <f t="shared" si="98"/>
        <v>0.15</v>
      </c>
      <c r="G451">
        <f t="shared" ref="G451:G514" si="102">(-8/10) * $D451</f>
        <v>0.12</v>
      </c>
      <c r="H451">
        <f t="shared" ref="H451:H514" si="103">(-6/10) * $D451</f>
        <v>0.09</v>
      </c>
      <c r="I451">
        <f t="shared" ref="I451:I514" si="104">(-4/10) * $D451</f>
        <v>0.06</v>
      </c>
      <c r="J451">
        <f t="shared" ref="J451:J514" si="105">(-2/10) * $D451</f>
        <v>0.03</v>
      </c>
      <c r="K451">
        <f t="shared" ref="K451:K514" si="106">(0/10) * $D451</f>
        <v>0</v>
      </c>
      <c r="L451">
        <f t="shared" ref="L451:L514" si="107">(2/10) * $D451</f>
        <v>-0.03</v>
      </c>
      <c r="M451">
        <f t="shared" ref="M451:M514" si="108">(4/10) * $D451</f>
        <v>-0.06</v>
      </c>
      <c r="N451">
        <f t="shared" ref="N451:N514" si="109">(6/10) * $D451</f>
        <v>-0.09</v>
      </c>
      <c r="O451">
        <f t="shared" ref="O451:O514" si="110">(8/10) * $D451</f>
        <v>-0.12</v>
      </c>
      <c r="P451">
        <f t="shared" ref="P451:P514" si="111">(10/10) * $D451</f>
        <v>-0.15</v>
      </c>
    </row>
    <row r="452" spans="1:16" x14ac:dyDescent="0.3">
      <c r="A452" s="6">
        <v>46442</v>
      </c>
      <c r="B452" s="8">
        <f t="shared" si="99"/>
        <v>55</v>
      </c>
      <c r="C452" s="8">
        <f t="shared" si="100"/>
        <v>61</v>
      </c>
      <c r="D452" s="7">
        <f t="shared" si="101"/>
        <v>-0.15</v>
      </c>
      <c r="F452">
        <f t="shared" si="98"/>
        <v>0.15</v>
      </c>
      <c r="G452">
        <f t="shared" si="102"/>
        <v>0.12</v>
      </c>
      <c r="H452">
        <f t="shared" si="103"/>
        <v>0.09</v>
      </c>
      <c r="I452">
        <f t="shared" si="104"/>
        <v>0.06</v>
      </c>
      <c r="J452">
        <f t="shared" si="105"/>
        <v>0.03</v>
      </c>
      <c r="K452">
        <f t="shared" si="106"/>
        <v>0</v>
      </c>
      <c r="L452">
        <f t="shared" si="107"/>
        <v>-0.03</v>
      </c>
      <c r="M452">
        <f t="shared" si="108"/>
        <v>-0.06</v>
      </c>
      <c r="N452">
        <f t="shared" si="109"/>
        <v>-0.09</v>
      </c>
      <c r="O452">
        <f t="shared" si="110"/>
        <v>-0.12</v>
      </c>
      <c r="P452">
        <f t="shared" si="111"/>
        <v>-0.15</v>
      </c>
    </row>
    <row r="453" spans="1:16" x14ac:dyDescent="0.3">
      <c r="A453" s="6">
        <v>46443</v>
      </c>
      <c r="B453" s="8">
        <f t="shared" si="99"/>
        <v>56</v>
      </c>
      <c r="C453" s="8">
        <f t="shared" si="100"/>
        <v>62</v>
      </c>
      <c r="D453" s="7">
        <f t="shared" si="101"/>
        <v>-0.15</v>
      </c>
      <c r="F453">
        <f t="shared" si="98"/>
        <v>0.15</v>
      </c>
      <c r="G453">
        <f t="shared" si="102"/>
        <v>0.12</v>
      </c>
      <c r="H453">
        <f t="shared" si="103"/>
        <v>0.09</v>
      </c>
      <c r="I453">
        <f t="shared" si="104"/>
        <v>0.06</v>
      </c>
      <c r="J453">
        <f t="shared" si="105"/>
        <v>0.03</v>
      </c>
      <c r="K453">
        <f t="shared" si="106"/>
        <v>0</v>
      </c>
      <c r="L453">
        <f t="shared" si="107"/>
        <v>-0.03</v>
      </c>
      <c r="M453">
        <f t="shared" si="108"/>
        <v>-0.06</v>
      </c>
      <c r="N453">
        <f t="shared" si="109"/>
        <v>-0.09</v>
      </c>
      <c r="O453">
        <f t="shared" si="110"/>
        <v>-0.12</v>
      </c>
      <c r="P453">
        <f t="shared" si="111"/>
        <v>-0.15</v>
      </c>
    </row>
    <row r="454" spans="1:16" x14ac:dyDescent="0.3">
      <c r="A454" s="6">
        <v>46444</v>
      </c>
      <c r="B454" s="8">
        <f t="shared" si="99"/>
        <v>57</v>
      </c>
      <c r="C454" s="8">
        <f t="shared" si="100"/>
        <v>63</v>
      </c>
      <c r="D454" s="7">
        <f t="shared" si="101"/>
        <v>-0.15</v>
      </c>
      <c r="F454">
        <f t="shared" si="98"/>
        <v>0.15</v>
      </c>
      <c r="G454">
        <f t="shared" si="102"/>
        <v>0.12</v>
      </c>
      <c r="H454">
        <f t="shared" si="103"/>
        <v>0.09</v>
      </c>
      <c r="I454">
        <f t="shared" si="104"/>
        <v>0.06</v>
      </c>
      <c r="J454">
        <f t="shared" si="105"/>
        <v>0.03</v>
      </c>
      <c r="K454">
        <f t="shared" si="106"/>
        <v>0</v>
      </c>
      <c r="L454">
        <f t="shared" si="107"/>
        <v>-0.03</v>
      </c>
      <c r="M454">
        <f t="shared" si="108"/>
        <v>-0.06</v>
      </c>
      <c r="N454">
        <f t="shared" si="109"/>
        <v>-0.09</v>
      </c>
      <c r="O454">
        <f t="shared" si="110"/>
        <v>-0.12</v>
      </c>
      <c r="P454">
        <f t="shared" si="111"/>
        <v>-0.15</v>
      </c>
    </row>
    <row r="455" spans="1:16" x14ac:dyDescent="0.3">
      <c r="A455" s="6">
        <v>46445</v>
      </c>
      <c r="B455" s="8">
        <f t="shared" si="99"/>
        <v>58</v>
      </c>
      <c r="C455" s="8">
        <f t="shared" si="100"/>
        <v>64</v>
      </c>
      <c r="D455" s="7">
        <f t="shared" si="101"/>
        <v>-0.15</v>
      </c>
      <c r="F455">
        <f t="shared" si="98"/>
        <v>0.15</v>
      </c>
      <c r="G455">
        <f t="shared" si="102"/>
        <v>0.12</v>
      </c>
      <c r="H455">
        <f t="shared" si="103"/>
        <v>0.09</v>
      </c>
      <c r="I455">
        <f t="shared" si="104"/>
        <v>0.06</v>
      </c>
      <c r="J455">
        <f t="shared" si="105"/>
        <v>0.03</v>
      </c>
      <c r="K455">
        <f t="shared" si="106"/>
        <v>0</v>
      </c>
      <c r="L455">
        <f t="shared" si="107"/>
        <v>-0.03</v>
      </c>
      <c r="M455">
        <f t="shared" si="108"/>
        <v>-0.06</v>
      </c>
      <c r="N455">
        <f t="shared" si="109"/>
        <v>-0.09</v>
      </c>
      <c r="O455">
        <f t="shared" si="110"/>
        <v>-0.12</v>
      </c>
      <c r="P455">
        <f t="shared" si="111"/>
        <v>-0.15</v>
      </c>
    </row>
    <row r="456" spans="1:16" x14ac:dyDescent="0.3">
      <c r="A456" s="6">
        <v>46446</v>
      </c>
      <c r="B456" s="8">
        <f t="shared" si="99"/>
        <v>59</v>
      </c>
      <c r="C456" s="8">
        <f t="shared" si="100"/>
        <v>65</v>
      </c>
      <c r="D456" s="7">
        <f t="shared" si="101"/>
        <v>-0.15</v>
      </c>
      <c r="F456">
        <f t="shared" si="98"/>
        <v>0.15</v>
      </c>
      <c r="G456">
        <f t="shared" si="102"/>
        <v>0.12</v>
      </c>
      <c r="H456">
        <f t="shared" si="103"/>
        <v>0.09</v>
      </c>
      <c r="I456">
        <f t="shared" si="104"/>
        <v>0.06</v>
      </c>
      <c r="J456">
        <f t="shared" si="105"/>
        <v>0.03</v>
      </c>
      <c r="K456">
        <f t="shared" si="106"/>
        <v>0</v>
      </c>
      <c r="L456">
        <f t="shared" si="107"/>
        <v>-0.03</v>
      </c>
      <c r="M456">
        <f t="shared" si="108"/>
        <v>-0.06</v>
      </c>
      <c r="N456">
        <f t="shared" si="109"/>
        <v>-0.09</v>
      </c>
      <c r="O456">
        <f t="shared" si="110"/>
        <v>-0.12</v>
      </c>
      <c r="P456">
        <f t="shared" si="111"/>
        <v>-0.15</v>
      </c>
    </row>
    <row r="457" spans="1:16" x14ac:dyDescent="0.3">
      <c r="A457" s="6">
        <v>46447</v>
      </c>
      <c r="B457" s="8">
        <f t="shared" si="99"/>
        <v>60</v>
      </c>
      <c r="C457" s="8">
        <f t="shared" si="100"/>
        <v>66</v>
      </c>
      <c r="D457" s="7">
        <f t="shared" si="101"/>
        <v>-0.15</v>
      </c>
      <c r="F457">
        <f t="shared" si="98"/>
        <v>0.15</v>
      </c>
      <c r="G457">
        <f t="shared" si="102"/>
        <v>0.12</v>
      </c>
      <c r="H457">
        <f t="shared" si="103"/>
        <v>0.09</v>
      </c>
      <c r="I457">
        <f t="shared" si="104"/>
        <v>0.06</v>
      </c>
      <c r="J457">
        <f t="shared" si="105"/>
        <v>0.03</v>
      </c>
      <c r="K457">
        <f t="shared" si="106"/>
        <v>0</v>
      </c>
      <c r="L457">
        <f t="shared" si="107"/>
        <v>-0.03</v>
      </c>
      <c r="M457">
        <f t="shared" si="108"/>
        <v>-0.06</v>
      </c>
      <c r="N457">
        <f t="shared" si="109"/>
        <v>-0.09</v>
      </c>
      <c r="O457">
        <f t="shared" si="110"/>
        <v>-0.12</v>
      </c>
      <c r="P457">
        <f t="shared" si="111"/>
        <v>-0.15</v>
      </c>
    </row>
    <row r="458" spans="1:16" x14ac:dyDescent="0.3">
      <c r="A458" s="6">
        <v>46448</v>
      </c>
      <c r="B458" s="8">
        <f t="shared" si="99"/>
        <v>61</v>
      </c>
      <c r="C458" s="8">
        <f t="shared" si="100"/>
        <v>67</v>
      </c>
      <c r="D458" s="7">
        <f t="shared" si="101"/>
        <v>-0.15</v>
      </c>
      <c r="F458">
        <f t="shared" si="98"/>
        <v>0.15</v>
      </c>
      <c r="G458">
        <f t="shared" si="102"/>
        <v>0.12</v>
      </c>
      <c r="H458">
        <f t="shared" si="103"/>
        <v>0.09</v>
      </c>
      <c r="I458">
        <f t="shared" si="104"/>
        <v>0.06</v>
      </c>
      <c r="J458">
        <f t="shared" si="105"/>
        <v>0.03</v>
      </c>
      <c r="K458">
        <f t="shared" si="106"/>
        <v>0</v>
      </c>
      <c r="L458">
        <f t="shared" si="107"/>
        <v>-0.03</v>
      </c>
      <c r="M458">
        <f t="shared" si="108"/>
        <v>-0.06</v>
      </c>
      <c r="N458">
        <f t="shared" si="109"/>
        <v>-0.09</v>
      </c>
      <c r="O458">
        <f t="shared" si="110"/>
        <v>-0.12</v>
      </c>
      <c r="P458">
        <f t="shared" si="111"/>
        <v>-0.15</v>
      </c>
    </row>
    <row r="459" spans="1:16" x14ac:dyDescent="0.3">
      <c r="A459" s="6">
        <v>46449</v>
      </c>
      <c r="B459" s="8">
        <f t="shared" si="99"/>
        <v>62</v>
      </c>
      <c r="C459" s="8">
        <f t="shared" si="100"/>
        <v>68</v>
      </c>
      <c r="D459" s="7">
        <f t="shared" si="101"/>
        <v>-0.15</v>
      </c>
      <c r="F459">
        <f t="shared" si="98"/>
        <v>0.15</v>
      </c>
      <c r="G459">
        <f t="shared" si="102"/>
        <v>0.12</v>
      </c>
      <c r="H459">
        <f t="shared" si="103"/>
        <v>0.09</v>
      </c>
      <c r="I459">
        <f t="shared" si="104"/>
        <v>0.06</v>
      </c>
      <c r="J459">
        <f t="shared" si="105"/>
        <v>0.03</v>
      </c>
      <c r="K459">
        <f t="shared" si="106"/>
        <v>0</v>
      </c>
      <c r="L459">
        <f t="shared" si="107"/>
        <v>-0.03</v>
      </c>
      <c r="M459">
        <f t="shared" si="108"/>
        <v>-0.06</v>
      </c>
      <c r="N459">
        <f t="shared" si="109"/>
        <v>-0.09</v>
      </c>
      <c r="O459">
        <f t="shared" si="110"/>
        <v>-0.12</v>
      </c>
      <c r="P459">
        <f t="shared" si="111"/>
        <v>-0.15</v>
      </c>
    </row>
    <row r="460" spans="1:16" x14ac:dyDescent="0.3">
      <c r="A460" s="6">
        <v>46450</v>
      </c>
      <c r="B460" s="8">
        <f t="shared" si="99"/>
        <v>63</v>
      </c>
      <c r="C460" s="8">
        <f t="shared" si="100"/>
        <v>69</v>
      </c>
      <c r="D460" s="7">
        <f t="shared" si="101"/>
        <v>-0.15</v>
      </c>
      <c r="F460">
        <f t="shared" si="98"/>
        <v>0.15</v>
      </c>
      <c r="G460">
        <f t="shared" si="102"/>
        <v>0.12</v>
      </c>
      <c r="H460">
        <f t="shared" si="103"/>
        <v>0.09</v>
      </c>
      <c r="I460">
        <f t="shared" si="104"/>
        <v>0.06</v>
      </c>
      <c r="J460">
        <f t="shared" si="105"/>
        <v>0.03</v>
      </c>
      <c r="K460">
        <f t="shared" si="106"/>
        <v>0</v>
      </c>
      <c r="L460">
        <f t="shared" si="107"/>
        <v>-0.03</v>
      </c>
      <c r="M460">
        <f t="shared" si="108"/>
        <v>-0.06</v>
      </c>
      <c r="N460">
        <f t="shared" si="109"/>
        <v>-0.09</v>
      </c>
      <c r="O460">
        <f t="shared" si="110"/>
        <v>-0.12</v>
      </c>
      <c r="P460">
        <f t="shared" si="111"/>
        <v>-0.15</v>
      </c>
    </row>
    <row r="461" spans="1:16" x14ac:dyDescent="0.3">
      <c r="A461" s="6">
        <v>46451</v>
      </c>
      <c r="B461" s="8">
        <f t="shared" si="99"/>
        <v>64</v>
      </c>
      <c r="C461" s="8">
        <f t="shared" si="100"/>
        <v>70</v>
      </c>
      <c r="D461" s="7">
        <f t="shared" si="101"/>
        <v>-0.15</v>
      </c>
      <c r="F461">
        <f t="shared" si="98"/>
        <v>0.15</v>
      </c>
      <c r="G461">
        <f t="shared" si="102"/>
        <v>0.12</v>
      </c>
      <c r="H461">
        <f t="shared" si="103"/>
        <v>0.09</v>
      </c>
      <c r="I461">
        <f t="shared" si="104"/>
        <v>0.06</v>
      </c>
      <c r="J461">
        <f t="shared" si="105"/>
        <v>0.03</v>
      </c>
      <c r="K461">
        <f t="shared" si="106"/>
        <v>0</v>
      </c>
      <c r="L461">
        <f t="shared" si="107"/>
        <v>-0.03</v>
      </c>
      <c r="M461">
        <f t="shared" si="108"/>
        <v>-0.06</v>
      </c>
      <c r="N461">
        <f t="shared" si="109"/>
        <v>-0.09</v>
      </c>
      <c r="O461">
        <f t="shared" si="110"/>
        <v>-0.12</v>
      </c>
      <c r="P461">
        <f t="shared" si="111"/>
        <v>-0.15</v>
      </c>
    </row>
    <row r="462" spans="1:16" x14ac:dyDescent="0.3">
      <c r="A462" s="6">
        <v>46452</v>
      </c>
      <c r="B462" s="8">
        <f t="shared" si="99"/>
        <v>65</v>
      </c>
      <c r="C462" s="8">
        <f t="shared" si="100"/>
        <v>71</v>
      </c>
      <c r="D462" s="7">
        <f t="shared" si="101"/>
        <v>-0.15</v>
      </c>
      <c r="F462">
        <f t="shared" si="98"/>
        <v>0.15</v>
      </c>
      <c r="G462">
        <f t="shared" si="102"/>
        <v>0.12</v>
      </c>
      <c r="H462">
        <f t="shared" si="103"/>
        <v>0.09</v>
      </c>
      <c r="I462">
        <f t="shared" si="104"/>
        <v>0.06</v>
      </c>
      <c r="J462">
        <f t="shared" si="105"/>
        <v>0.03</v>
      </c>
      <c r="K462">
        <f t="shared" si="106"/>
        <v>0</v>
      </c>
      <c r="L462">
        <f t="shared" si="107"/>
        <v>-0.03</v>
      </c>
      <c r="M462">
        <f t="shared" si="108"/>
        <v>-0.06</v>
      </c>
      <c r="N462">
        <f t="shared" si="109"/>
        <v>-0.09</v>
      </c>
      <c r="O462">
        <f t="shared" si="110"/>
        <v>-0.12</v>
      </c>
      <c r="P462">
        <f t="shared" si="111"/>
        <v>-0.15</v>
      </c>
    </row>
    <row r="463" spans="1:16" x14ac:dyDescent="0.3">
      <c r="A463" s="6">
        <v>46453</v>
      </c>
      <c r="B463" s="8">
        <f t="shared" si="99"/>
        <v>66</v>
      </c>
      <c r="C463" s="8">
        <f t="shared" si="100"/>
        <v>72</v>
      </c>
      <c r="D463" s="7">
        <f t="shared" si="101"/>
        <v>-0.15</v>
      </c>
      <c r="F463">
        <f t="shared" si="98"/>
        <v>0.15</v>
      </c>
      <c r="G463">
        <f t="shared" si="102"/>
        <v>0.12</v>
      </c>
      <c r="H463">
        <f t="shared" si="103"/>
        <v>0.09</v>
      </c>
      <c r="I463">
        <f t="shared" si="104"/>
        <v>0.06</v>
      </c>
      <c r="J463">
        <f t="shared" si="105"/>
        <v>0.03</v>
      </c>
      <c r="K463">
        <f t="shared" si="106"/>
        <v>0</v>
      </c>
      <c r="L463">
        <f t="shared" si="107"/>
        <v>-0.03</v>
      </c>
      <c r="M463">
        <f t="shared" si="108"/>
        <v>-0.06</v>
      </c>
      <c r="N463">
        <f t="shared" si="109"/>
        <v>-0.09</v>
      </c>
      <c r="O463">
        <f t="shared" si="110"/>
        <v>-0.12</v>
      </c>
      <c r="P463">
        <f t="shared" si="111"/>
        <v>-0.15</v>
      </c>
    </row>
    <row r="464" spans="1:16" x14ac:dyDescent="0.3">
      <c r="A464" s="6">
        <v>46454</v>
      </c>
      <c r="B464" s="8">
        <f t="shared" si="99"/>
        <v>67</v>
      </c>
      <c r="C464" s="8">
        <f t="shared" si="100"/>
        <v>73</v>
      </c>
      <c r="D464" s="7">
        <f t="shared" si="101"/>
        <v>-0.15</v>
      </c>
      <c r="F464">
        <f t="shared" si="98"/>
        <v>0.15</v>
      </c>
      <c r="G464">
        <f t="shared" si="102"/>
        <v>0.12</v>
      </c>
      <c r="H464">
        <f t="shared" si="103"/>
        <v>0.09</v>
      </c>
      <c r="I464">
        <f t="shared" si="104"/>
        <v>0.06</v>
      </c>
      <c r="J464">
        <f t="shared" si="105"/>
        <v>0.03</v>
      </c>
      <c r="K464">
        <f t="shared" si="106"/>
        <v>0</v>
      </c>
      <c r="L464">
        <f t="shared" si="107"/>
        <v>-0.03</v>
      </c>
      <c r="M464">
        <f t="shared" si="108"/>
        <v>-0.06</v>
      </c>
      <c r="N464">
        <f t="shared" si="109"/>
        <v>-0.09</v>
      </c>
      <c r="O464">
        <f t="shared" si="110"/>
        <v>-0.12</v>
      </c>
      <c r="P464">
        <f t="shared" si="111"/>
        <v>-0.15</v>
      </c>
    </row>
    <row r="465" spans="1:16" x14ac:dyDescent="0.3">
      <c r="A465" s="6">
        <v>46455</v>
      </c>
      <c r="B465" s="8">
        <f t="shared" si="99"/>
        <v>68</v>
      </c>
      <c r="C465" s="8">
        <f t="shared" si="100"/>
        <v>74</v>
      </c>
      <c r="D465" s="7">
        <f t="shared" si="101"/>
        <v>-0.15</v>
      </c>
      <c r="F465">
        <f t="shared" si="98"/>
        <v>0.15</v>
      </c>
      <c r="G465">
        <f t="shared" si="102"/>
        <v>0.12</v>
      </c>
      <c r="H465">
        <f t="shared" si="103"/>
        <v>0.09</v>
      </c>
      <c r="I465">
        <f t="shared" si="104"/>
        <v>0.06</v>
      </c>
      <c r="J465">
        <f t="shared" si="105"/>
        <v>0.03</v>
      </c>
      <c r="K465">
        <f t="shared" si="106"/>
        <v>0</v>
      </c>
      <c r="L465">
        <f t="shared" si="107"/>
        <v>-0.03</v>
      </c>
      <c r="M465">
        <f t="shared" si="108"/>
        <v>-0.06</v>
      </c>
      <c r="N465">
        <f t="shared" si="109"/>
        <v>-0.09</v>
      </c>
      <c r="O465">
        <f t="shared" si="110"/>
        <v>-0.12</v>
      </c>
      <c r="P465">
        <f t="shared" si="111"/>
        <v>-0.15</v>
      </c>
    </row>
    <row r="466" spans="1:16" x14ac:dyDescent="0.3">
      <c r="A466" s="6">
        <v>46456</v>
      </c>
      <c r="B466" s="8">
        <f t="shared" si="99"/>
        <v>69</v>
      </c>
      <c r="C466" s="8">
        <f t="shared" si="100"/>
        <v>75</v>
      </c>
      <c r="D466" s="7">
        <f t="shared" si="101"/>
        <v>-0.15</v>
      </c>
      <c r="F466">
        <f t="shared" si="98"/>
        <v>0.15</v>
      </c>
      <c r="G466">
        <f t="shared" si="102"/>
        <v>0.12</v>
      </c>
      <c r="H466">
        <f t="shared" si="103"/>
        <v>0.09</v>
      </c>
      <c r="I466">
        <f t="shared" si="104"/>
        <v>0.06</v>
      </c>
      <c r="J466">
        <f t="shared" si="105"/>
        <v>0.03</v>
      </c>
      <c r="K466">
        <f t="shared" si="106"/>
        <v>0</v>
      </c>
      <c r="L466">
        <f t="shared" si="107"/>
        <v>-0.03</v>
      </c>
      <c r="M466">
        <f t="shared" si="108"/>
        <v>-0.06</v>
      </c>
      <c r="N466">
        <f t="shared" si="109"/>
        <v>-0.09</v>
      </c>
      <c r="O466">
        <f t="shared" si="110"/>
        <v>-0.12</v>
      </c>
      <c r="P466">
        <f t="shared" si="111"/>
        <v>-0.15</v>
      </c>
    </row>
    <row r="467" spans="1:16" x14ac:dyDescent="0.3">
      <c r="A467" s="6">
        <v>46457</v>
      </c>
      <c r="B467" s="8">
        <f t="shared" si="99"/>
        <v>70</v>
      </c>
      <c r="C467" s="8">
        <f t="shared" si="100"/>
        <v>76</v>
      </c>
      <c r="D467" s="7">
        <f t="shared" si="101"/>
        <v>-0.15</v>
      </c>
      <c r="F467">
        <f t="shared" si="98"/>
        <v>0.15</v>
      </c>
      <c r="G467">
        <f t="shared" si="102"/>
        <v>0.12</v>
      </c>
      <c r="H467">
        <f t="shared" si="103"/>
        <v>0.09</v>
      </c>
      <c r="I467">
        <f t="shared" si="104"/>
        <v>0.06</v>
      </c>
      <c r="J467">
        <f t="shared" si="105"/>
        <v>0.03</v>
      </c>
      <c r="K467">
        <f t="shared" si="106"/>
        <v>0</v>
      </c>
      <c r="L467">
        <f t="shared" si="107"/>
        <v>-0.03</v>
      </c>
      <c r="M467">
        <f t="shared" si="108"/>
        <v>-0.06</v>
      </c>
      <c r="N467">
        <f t="shared" si="109"/>
        <v>-0.09</v>
      </c>
      <c r="O467">
        <f t="shared" si="110"/>
        <v>-0.12</v>
      </c>
      <c r="P467">
        <f t="shared" si="111"/>
        <v>-0.15</v>
      </c>
    </row>
    <row r="468" spans="1:16" x14ac:dyDescent="0.3">
      <c r="A468" s="6">
        <v>46458</v>
      </c>
      <c r="B468" s="8">
        <f t="shared" si="99"/>
        <v>71</v>
      </c>
      <c r="C468" s="8">
        <f t="shared" si="100"/>
        <v>77</v>
      </c>
      <c r="D468" s="7">
        <f t="shared" si="101"/>
        <v>-0.15</v>
      </c>
      <c r="F468">
        <f t="shared" si="98"/>
        <v>0.15</v>
      </c>
      <c r="G468">
        <f t="shared" si="102"/>
        <v>0.12</v>
      </c>
      <c r="H468">
        <f t="shared" si="103"/>
        <v>0.09</v>
      </c>
      <c r="I468">
        <f t="shared" si="104"/>
        <v>0.06</v>
      </c>
      <c r="J468">
        <f t="shared" si="105"/>
        <v>0.03</v>
      </c>
      <c r="K468">
        <f t="shared" si="106"/>
        <v>0</v>
      </c>
      <c r="L468">
        <f t="shared" si="107"/>
        <v>-0.03</v>
      </c>
      <c r="M468">
        <f t="shared" si="108"/>
        <v>-0.06</v>
      </c>
      <c r="N468">
        <f t="shared" si="109"/>
        <v>-0.09</v>
      </c>
      <c r="O468">
        <f t="shared" si="110"/>
        <v>-0.12</v>
      </c>
      <c r="P468">
        <f t="shared" si="111"/>
        <v>-0.15</v>
      </c>
    </row>
    <row r="469" spans="1:16" x14ac:dyDescent="0.3">
      <c r="A469" s="6">
        <v>46459</v>
      </c>
      <c r="B469" s="8">
        <f t="shared" si="99"/>
        <v>72</v>
      </c>
      <c r="C469" s="8">
        <f t="shared" si="100"/>
        <v>78</v>
      </c>
      <c r="D469" s="7">
        <f t="shared" si="101"/>
        <v>-0.15</v>
      </c>
      <c r="F469">
        <f t="shared" si="98"/>
        <v>0.15</v>
      </c>
      <c r="G469">
        <f t="shared" si="102"/>
        <v>0.12</v>
      </c>
      <c r="H469">
        <f t="shared" si="103"/>
        <v>0.09</v>
      </c>
      <c r="I469">
        <f t="shared" si="104"/>
        <v>0.06</v>
      </c>
      <c r="J469">
        <f t="shared" si="105"/>
        <v>0.03</v>
      </c>
      <c r="K469">
        <f t="shared" si="106"/>
        <v>0</v>
      </c>
      <c r="L469">
        <f t="shared" si="107"/>
        <v>-0.03</v>
      </c>
      <c r="M469">
        <f t="shared" si="108"/>
        <v>-0.06</v>
      </c>
      <c r="N469">
        <f t="shared" si="109"/>
        <v>-0.09</v>
      </c>
      <c r="O469">
        <f t="shared" si="110"/>
        <v>-0.12</v>
      </c>
      <c r="P469">
        <f t="shared" si="111"/>
        <v>-0.15</v>
      </c>
    </row>
    <row r="470" spans="1:16" x14ac:dyDescent="0.3">
      <c r="A470" s="6">
        <v>46460</v>
      </c>
      <c r="B470" s="8">
        <f t="shared" si="99"/>
        <v>73</v>
      </c>
      <c r="C470" s="8">
        <f t="shared" si="100"/>
        <v>79</v>
      </c>
      <c r="D470" s="7">
        <f t="shared" si="101"/>
        <v>-0.15</v>
      </c>
      <c r="F470">
        <f t="shared" si="98"/>
        <v>0.15</v>
      </c>
      <c r="G470">
        <f t="shared" si="102"/>
        <v>0.12</v>
      </c>
      <c r="H470">
        <f t="shared" si="103"/>
        <v>0.09</v>
      </c>
      <c r="I470">
        <f t="shared" si="104"/>
        <v>0.06</v>
      </c>
      <c r="J470">
        <f t="shared" si="105"/>
        <v>0.03</v>
      </c>
      <c r="K470">
        <f t="shared" si="106"/>
        <v>0</v>
      </c>
      <c r="L470">
        <f t="shared" si="107"/>
        <v>-0.03</v>
      </c>
      <c r="M470">
        <f t="shared" si="108"/>
        <v>-0.06</v>
      </c>
      <c r="N470">
        <f t="shared" si="109"/>
        <v>-0.09</v>
      </c>
      <c r="O470">
        <f t="shared" si="110"/>
        <v>-0.12</v>
      </c>
      <c r="P470">
        <f t="shared" si="111"/>
        <v>-0.15</v>
      </c>
    </row>
    <row r="471" spans="1:16" x14ac:dyDescent="0.3">
      <c r="A471" s="6">
        <v>46461</v>
      </c>
      <c r="B471" s="8">
        <f t="shared" si="99"/>
        <v>74</v>
      </c>
      <c r="C471" s="8">
        <f t="shared" si="100"/>
        <v>80</v>
      </c>
      <c r="D471" s="7">
        <f t="shared" si="101"/>
        <v>-0.15</v>
      </c>
      <c r="F471">
        <f t="shared" si="98"/>
        <v>0.15</v>
      </c>
      <c r="G471">
        <f t="shared" si="102"/>
        <v>0.12</v>
      </c>
      <c r="H471">
        <f t="shared" si="103"/>
        <v>0.09</v>
      </c>
      <c r="I471">
        <f t="shared" si="104"/>
        <v>0.06</v>
      </c>
      <c r="J471">
        <f t="shared" si="105"/>
        <v>0.03</v>
      </c>
      <c r="K471">
        <f t="shared" si="106"/>
        <v>0</v>
      </c>
      <c r="L471">
        <f t="shared" si="107"/>
        <v>-0.03</v>
      </c>
      <c r="M471">
        <f t="shared" si="108"/>
        <v>-0.06</v>
      </c>
      <c r="N471">
        <f t="shared" si="109"/>
        <v>-0.09</v>
      </c>
      <c r="O471">
        <f t="shared" si="110"/>
        <v>-0.12</v>
      </c>
      <c r="P471">
        <f t="shared" si="111"/>
        <v>-0.15</v>
      </c>
    </row>
    <row r="472" spans="1:16" x14ac:dyDescent="0.3">
      <c r="A472" s="6">
        <v>46462</v>
      </c>
      <c r="B472" s="8">
        <f t="shared" si="99"/>
        <v>75</v>
      </c>
      <c r="C472" s="8">
        <f t="shared" si="100"/>
        <v>81</v>
      </c>
      <c r="D472" s="7">
        <f t="shared" si="101"/>
        <v>-0.15</v>
      </c>
      <c r="F472">
        <f t="shared" si="98"/>
        <v>0.15</v>
      </c>
      <c r="G472">
        <f t="shared" si="102"/>
        <v>0.12</v>
      </c>
      <c r="H472">
        <f t="shared" si="103"/>
        <v>0.09</v>
      </c>
      <c r="I472">
        <f t="shared" si="104"/>
        <v>0.06</v>
      </c>
      <c r="J472">
        <f t="shared" si="105"/>
        <v>0.03</v>
      </c>
      <c r="K472">
        <f t="shared" si="106"/>
        <v>0</v>
      </c>
      <c r="L472">
        <f t="shared" si="107"/>
        <v>-0.03</v>
      </c>
      <c r="M472">
        <f t="shared" si="108"/>
        <v>-0.06</v>
      </c>
      <c r="N472">
        <f t="shared" si="109"/>
        <v>-0.09</v>
      </c>
      <c r="O472">
        <f t="shared" si="110"/>
        <v>-0.12</v>
      </c>
      <c r="P472">
        <f t="shared" si="111"/>
        <v>-0.15</v>
      </c>
    </row>
    <row r="473" spans="1:16" x14ac:dyDescent="0.3">
      <c r="A473" s="6">
        <v>46463</v>
      </c>
      <c r="B473" s="8">
        <f t="shared" si="99"/>
        <v>76</v>
      </c>
      <c r="C473" s="8">
        <f t="shared" si="100"/>
        <v>82</v>
      </c>
      <c r="D473" s="7">
        <f t="shared" si="101"/>
        <v>-0.15</v>
      </c>
      <c r="F473">
        <f t="shared" si="98"/>
        <v>0.15</v>
      </c>
      <c r="G473">
        <f t="shared" si="102"/>
        <v>0.12</v>
      </c>
      <c r="H473">
        <f t="shared" si="103"/>
        <v>0.09</v>
      </c>
      <c r="I473">
        <f t="shared" si="104"/>
        <v>0.06</v>
      </c>
      <c r="J473">
        <f t="shared" si="105"/>
        <v>0.03</v>
      </c>
      <c r="K473">
        <f t="shared" si="106"/>
        <v>0</v>
      </c>
      <c r="L473">
        <f t="shared" si="107"/>
        <v>-0.03</v>
      </c>
      <c r="M473">
        <f t="shared" si="108"/>
        <v>-0.06</v>
      </c>
      <c r="N473">
        <f t="shared" si="109"/>
        <v>-0.09</v>
      </c>
      <c r="O473">
        <f t="shared" si="110"/>
        <v>-0.12</v>
      </c>
      <c r="P473">
        <f t="shared" si="111"/>
        <v>-0.15</v>
      </c>
    </row>
    <row r="474" spans="1:16" x14ac:dyDescent="0.3">
      <c r="A474" s="6">
        <v>46464</v>
      </c>
      <c r="B474" s="8">
        <f t="shared" si="99"/>
        <v>77</v>
      </c>
      <c r="C474" s="8">
        <f t="shared" si="100"/>
        <v>83</v>
      </c>
      <c r="D474" s="7">
        <f t="shared" si="101"/>
        <v>-0.15</v>
      </c>
      <c r="F474">
        <f t="shared" si="98"/>
        <v>0.15</v>
      </c>
      <c r="G474">
        <f t="shared" si="102"/>
        <v>0.12</v>
      </c>
      <c r="H474">
        <f t="shared" si="103"/>
        <v>0.09</v>
      </c>
      <c r="I474">
        <f t="shared" si="104"/>
        <v>0.06</v>
      </c>
      <c r="J474">
        <f t="shared" si="105"/>
        <v>0.03</v>
      </c>
      <c r="K474">
        <f t="shared" si="106"/>
        <v>0</v>
      </c>
      <c r="L474">
        <f t="shared" si="107"/>
        <v>-0.03</v>
      </c>
      <c r="M474">
        <f t="shared" si="108"/>
        <v>-0.06</v>
      </c>
      <c r="N474">
        <f t="shared" si="109"/>
        <v>-0.09</v>
      </c>
      <c r="O474">
        <f t="shared" si="110"/>
        <v>-0.12</v>
      </c>
      <c r="P474">
        <f t="shared" si="111"/>
        <v>-0.15</v>
      </c>
    </row>
    <row r="475" spans="1:16" x14ac:dyDescent="0.3">
      <c r="A475" s="6">
        <v>46465</v>
      </c>
      <c r="B475" s="8">
        <f t="shared" si="99"/>
        <v>78</v>
      </c>
      <c r="C475" s="8">
        <f t="shared" si="100"/>
        <v>84</v>
      </c>
      <c r="D475" s="7">
        <f t="shared" si="101"/>
        <v>-0.15</v>
      </c>
      <c r="F475">
        <f t="shared" si="98"/>
        <v>0.15</v>
      </c>
      <c r="G475">
        <f t="shared" si="102"/>
        <v>0.12</v>
      </c>
      <c r="H475">
        <f t="shared" si="103"/>
        <v>0.09</v>
      </c>
      <c r="I475">
        <f t="shared" si="104"/>
        <v>0.06</v>
      </c>
      <c r="J475">
        <f t="shared" si="105"/>
        <v>0.03</v>
      </c>
      <c r="K475">
        <f t="shared" si="106"/>
        <v>0</v>
      </c>
      <c r="L475">
        <f t="shared" si="107"/>
        <v>-0.03</v>
      </c>
      <c r="M475">
        <f t="shared" si="108"/>
        <v>-0.06</v>
      </c>
      <c r="N475">
        <f t="shared" si="109"/>
        <v>-0.09</v>
      </c>
      <c r="O475">
        <f t="shared" si="110"/>
        <v>-0.12</v>
      </c>
      <c r="P475">
        <f t="shared" si="111"/>
        <v>-0.15</v>
      </c>
    </row>
    <row r="476" spans="1:16" x14ac:dyDescent="0.3">
      <c r="A476" s="6">
        <v>46466</v>
      </c>
      <c r="B476" s="8">
        <f t="shared" si="99"/>
        <v>79</v>
      </c>
      <c r="C476" s="8">
        <f t="shared" si="100"/>
        <v>85</v>
      </c>
      <c r="D476" s="7">
        <f t="shared" si="101"/>
        <v>-0.15</v>
      </c>
      <c r="F476">
        <f t="shared" si="98"/>
        <v>0.15</v>
      </c>
      <c r="G476">
        <f t="shared" si="102"/>
        <v>0.12</v>
      </c>
      <c r="H476">
        <f t="shared" si="103"/>
        <v>0.09</v>
      </c>
      <c r="I476">
        <f t="shared" si="104"/>
        <v>0.06</v>
      </c>
      <c r="J476">
        <f t="shared" si="105"/>
        <v>0.03</v>
      </c>
      <c r="K476">
        <f t="shared" si="106"/>
        <v>0</v>
      </c>
      <c r="L476">
        <f t="shared" si="107"/>
        <v>-0.03</v>
      </c>
      <c r="M476">
        <f t="shared" si="108"/>
        <v>-0.06</v>
      </c>
      <c r="N476">
        <f t="shared" si="109"/>
        <v>-0.09</v>
      </c>
      <c r="O476">
        <f t="shared" si="110"/>
        <v>-0.12</v>
      </c>
      <c r="P476">
        <f t="shared" si="111"/>
        <v>-0.15</v>
      </c>
    </row>
    <row r="477" spans="1:16" x14ac:dyDescent="0.3">
      <c r="A477" s="6">
        <v>46467</v>
      </c>
      <c r="B477" s="8">
        <f t="shared" si="99"/>
        <v>80</v>
      </c>
      <c r="C477" s="8">
        <f t="shared" si="100"/>
        <v>86</v>
      </c>
      <c r="D477" s="7">
        <f t="shared" si="101"/>
        <v>-0.15</v>
      </c>
      <c r="F477">
        <f t="shared" si="98"/>
        <v>0.15</v>
      </c>
      <c r="G477">
        <f t="shared" si="102"/>
        <v>0.12</v>
      </c>
      <c r="H477">
        <f t="shared" si="103"/>
        <v>0.09</v>
      </c>
      <c r="I477">
        <f t="shared" si="104"/>
        <v>0.06</v>
      </c>
      <c r="J477">
        <f t="shared" si="105"/>
        <v>0.03</v>
      </c>
      <c r="K477">
        <f t="shared" si="106"/>
        <v>0</v>
      </c>
      <c r="L477">
        <f t="shared" si="107"/>
        <v>-0.03</v>
      </c>
      <c r="M477">
        <f t="shared" si="108"/>
        <v>-0.06</v>
      </c>
      <c r="N477">
        <f t="shared" si="109"/>
        <v>-0.09</v>
      </c>
      <c r="O477">
        <f t="shared" si="110"/>
        <v>-0.12</v>
      </c>
      <c r="P477">
        <f t="shared" si="111"/>
        <v>-0.15</v>
      </c>
    </row>
    <row r="478" spans="1:16" x14ac:dyDescent="0.3">
      <c r="A478" s="6">
        <v>46468</v>
      </c>
      <c r="B478" s="8">
        <f t="shared" si="99"/>
        <v>81</v>
      </c>
      <c r="C478" s="8">
        <f t="shared" si="100"/>
        <v>87</v>
      </c>
      <c r="D478" s="7">
        <f t="shared" si="101"/>
        <v>-0.15</v>
      </c>
      <c r="F478">
        <f t="shared" si="98"/>
        <v>0.15</v>
      </c>
      <c r="G478">
        <f t="shared" si="102"/>
        <v>0.12</v>
      </c>
      <c r="H478">
        <f t="shared" si="103"/>
        <v>0.09</v>
      </c>
      <c r="I478">
        <f t="shared" si="104"/>
        <v>0.06</v>
      </c>
      <c r="J478">
        <f t="shared" si="105"/>
        <v>0.03</v>
      </c>
      <c r="K478">
        <f t="shared" si="106"/>
        <v>0</v>
      </c>
      <c r="L478">
        <f t="shared" si="107"/>
        <v>-0.03</v>
      </c>
      <c r="M478">
        <f t="shared" si="108"/>
        <v>-0.06</v>
      </c>
      <c r="N478">
        <f t="shared" si="109"/>
        <v>-0.09</v>
      </c>
      <c r="O478">
        <f t="shared" si="110"/>
        <v>-0.12</v>
      </c>
      <c r="P478">
        <f t="shared" si="111"/>
        <v>-0.15</v>
      </c>
    </row>
    <row r="479" spans="1:16" x14ac:dyDescent="0.3">
      <c r="A479" s="6">
        <v>46469</v>
      </c>
      <c r="B479" s="8">
        <f t="shared" si="99"/>
        <v>82</v>
      </c>
      <c r="C479" s="8">
        <f t="shared" si="100"/>
        <v>88</v>
      </c>
      <c r="D479" s="7">
        <f t="shared" si="101"/>
        <v>-0.15</v>
      </c>
      <c r="F479">
        <f t="shared" si="98"/>
        <v>0.15</v>
      </c>
      <c r="G479">
        <f t="shared" si="102"/>
        <v>0.12</v>
      </c>
      <c r="H479">
        <f t="shared" si="103"/>
        <v>0.09</v>
      </c>
      <c r="I479">
        <f t="shared" si="104"/>
        <v>0.06</v>
      </c>
      <c r="J479">
        <f t="shared" si="105"/>
        <v>0.03</v>
      </c>
      <c r="K479">
        <f t="shared" si="106"/>
        <v>0</v>
      </c>
      <c r="L479">
        <f t="shared" si="107"/>
        <v>-0.03</v>
      </c>
      <c r="M479">
        <f t="shared" si="108"/>
        <v>-0.06</v>
      </c>
      <c r="N479">
        <f t="shared" si="109"/>
        <v>-0.09</v>
      </c>
      <c r="O479">
        <f t="shared" si="110"/>
        <v>-0.12</v>
      </c>
      <c r="P479">
        <f t="shared" si="111"/>
        <v>-0.15</v>
      </c>
    </row>
    <row r="480" spans="1:16" x14ac:dyDescent="0.3">
      <c r="A480" s="6">
        <v>46470</v>
      </c>
      <c r="B480" s="8">
        <f t="shared" si="99"/>
        <v>83</v>
      </c>
      <c r="C480" s="8">
        <f t="shared" si="100"/>
        <v>89</v>
      </c>
      <c r="D480" s="7">
        <f t="shared" si="101"/>
        <v>-0.15</v>
      </c>
      <c r="F480">
        <f t="shared" si="98"/>
        <v>0.15</v>
      </c>
      <c r="G480">
        <f t="shared" si="102"/>
        <v>0.12</v>
      </c>
      <c r="H480">
        <f t="shared" si="103"/>
        <v>0.09</v>
      </c>
      <c r="I480">
        <f t="shared" si="104"/>
        <v>0.06</v>
      </c>
      <c r="J480">
        <f t="shared" si="105"/>
        <v>0.03</v>
      </c>
      <c r="K480">
        <f t="shared" si="106"/>
        <v>0</v>
      </c>
      <c r="L480">
        <f t="shared" si="107"/>
        <v>-0.03</v>
      </c>
      <c r="M480">
        <f t="shared" si="108"/>
        <v>-0.06</v>
      </c>
      <c r="N480">
        <f t="shared" si="109"/>
        <v>-0.09</v>
      </c>
      <c r="O480">
        <f t="shared" si="110"/>
        <v>-0.12</v>
      </c>
      <c r="P480">
        <f t="shared" si="111"/>
        <v>-0.15</v>
      </c>
    </row>
    <row r="481" spans="1:16" x14ac:dyDescent="0.3">
      <c r="A481" s="6">
        <v>46471</v>
      </c>
      <c r="B481" s="8">
        <f t="shared" si="99"/>
        <v>84</v>
      </c>
      <c r="C481" s="8">
        <f t="shared" si="100"/>
        <v>90</v>
      </c>
      <c r="D481" s="7">
        <f t="shared" si="101"/>
        <v>-0.15</v>
      </c>
      <c r="F481">
        <f t="shared" si="98"/>
        <v>0.15</v>
      </c>
      <c r="G481">
        <f t="shared" si="102"/>
        <v>0.12</v>
      </c>
      <c r="H481">
        <f t="shared" si="103"/>
        <v>0.09</v>
      </c>
      <c r="I481">
        <f t="shared" si="104"/>
        <v>0.06</v>
      </c>
      <c r="J481">
        <f t="shared" si="105"/>
        <v>0.03</v>
      </c>
      <c r="K481">
        <f t="shared" si="106"/>
        <v>0</v>
      </c>
      <c r="L481">
        <f t="shared" si="107"/>
        <v>-0.03</v>
      </c>
      <c r="M481">
        <f t="shared" si="108"/>
        <v>-0.06</v>
      </c>
      <c r="N481">
        <f t="shared" si="109"/>
        <v>-0.09</v>
      </c>
      <c r="O481">
        <f t="shared" si="110"/>
        <v>-0.12</v>
      </c>
      <c r="P481">
        <f t="shared" si="111"/>
        <v>-0.15</v>
      </c>
    </row>
    <row r="482" spans="1:16" x14ac:dyDescent="0.3">
      <c r="A482" s="6">
        <v>46472</v>
      </c>
      <c r="B482" s="8">
        <f t="shared" si="99"/>
        <v>85</v>
      </c>
      <c r="C482" s="8">
        <f t="shared" si="100"/>
        <v>91</v>
      </c>
      <c r="D482" s="7">
        <f t="shared" si="101"/>
        <v>-0.15</v>
      </c>
      <c r="F482">
        <f t="shared" si="98"/>
        <v>0.15</v>
      </c>
      <c r="G482">
        <f t="shared" si="102"/>
        <v>0.12</v>
      </c>
      <c r="H482">
        <f t="shared" si="103"/>
        <v>0.09</v>
      </c>
      <c r="I482">
        <f t="shared" si="104"/>
        <v>0.06</v>
      </c>
      <c r="J482">
        <f t="shared" si="105"/>
        <v>0.03</v>
      </c>
      <c r="K482">
        <f t="shared" si="106"/>
        <v>0</v>
      </c>
      <c r="L482">
        <f t="shared" si="107"/>
        <v>-0.03</v>
      </c>
      <c r="M482">
        <f t="shared" si="108"/>
        <v>-0.06</v>
      </c>
      <c r="N482">
        <f t="shared" si="109"/>
        <v>-0.09</v>
      </c>
      <c r="O482">
        <f t="shared" si="110"/>
        <v>-0.12</v>
      </c>
      <c r="P482">
        <f t="shared" si="111"/>
        <v>-0.15</v>
      </c>
    </row>
    <row r="483" spans="1:16" x14ac:dyDescent="0.3">
      <c r="A483" s="6">
        <v>46473</v>
      </c>
      <c r="B483" s="8">
        <f t="shared" si="99"/>
        <v>86</v>
      </c>
      <c r="C483" s="8">
        <f t="shared" si="100"/>
        <v>92</v>
      </c>
      <c r="D483" s="7">
        <f t="shared" si="101"/>
        <v>-0.15</v>
      </c>
      <c r="F483">
        <f t="shared" si="98"/>
        <v>0.15</v>
      </c>
      <c r="G483">
        <f t="shared" si="102"/>
        <v>0.12</v>
      </c>
      <c r="H483">
        <f t="shared" si="103"/>
        <v>0.09</v>
      </c>
      <c r="I483">
        <f t="shared" si="104"/>
        <v>0.06</v>
      </c>
      <c r="J483">
        <f t="shared" si="105"/>
        <v>0.03</v>
      </c>
      <c r="K483">
        <f t="shared" si="106"/>
        <v>0</v>
      </c>
      <c r="L483">
        <f t="shared" si="107"/>
        <v>-0.03</v>
      </c>
      <c r="M483">
        <f t="shared" si="108"/>
        <v>-0.06</v>
      </c>
      <c r="N483">
        <f t="shared" si="109"/>
        <v>-0.09</v>
      </c>
      <c r="O483">
        <f t="shared" si="110"/>
        <v>-0.12</v>
      </c>
      <c r="P483">
        <f t="shared" si="111"/>
        <v>-0.15</v>
      </c>
    </row>
    <row r="484" spans="1:16" x14ac:dyDescent="0.3">
      <c r="A484" s="6">
        <v>46474</v>
      </c>
      <c r="B484" s="8">
        <f t="shared" si="99"/>
        <v>87</v>
      </c>
      <c r="C484" s="8">
        <f t="shared" si="100"/>
        <v>93</v>
      </c>
      <c r="D484" s="7">
        <f t="shared" si="101"/>
        <v>-0.15</v>
      </c>
      <c r="F484">
        <f t="shared" si="98"/>
        <v>0.15</v>
      </c>
      <c r="G484">
        <f t="shared" si="102"/>
        <v>0.12</v>
      </c>
      <c r="H484">
        <f t="shared" si="103"/>
        <v>0.09</v>
      </c>
      <c r="I484">
        <f t="shared" si="104"/>
        <v>0.06</v>
      </c>
      <c r="J484">
        <f t="shared" si="105"/>
        <v>0.03</v>
      </c>
      <c r="K484">
        <f t="shared" si="106"/>
        <v>0</v>
      </c>
      <c r="L484">
        <f t="shared" si="107"/>
        <v>-0.03</v>
      </c>
      <c r="M484">
        <f t="shared" si="108"/>
        <v>-0.06</v>
      </c>
      <c r="N484">
        <f t="shared" si="109"/>
        <v>-0.09</v>
      </c>
      <c r="O484">
        <f t="shared" si="110"/>
        <v>-0.12</v>
      </c>
      <c r="P484">
        <f t="shared" si="111"/>
        <v>-0.15</v>
      </c>
    </row>
    <row r="485" spans="1:16" x14ac:dyDescent="0.3">
      <c r="A485" s="6">
        <v>46475</v>
      </c>
      <c r="B485" s="8">
        <f t="shared" si="99"/>
        <v>88</v>
      </c>
      <c r="C485" s="8">
        <f t="shared" si="100"/>
        <v>94</v>
      </c>
      <c r="D485" s="7">
        <f t="shared" si="101"/>
        <v>-0.15</v>
      </c>
      <c r="F485">
        <f t="shared" si="98"/>
        <v>0.15</v>
      </c>
      <c r="G485">
        <f t="shared" si="102"/>
        <v>0.12</v>
      </c>
      <c r="H485">
        <f t="shared" si="103"/>
        <v>0.09</v>
      </c>
      <c r="I485">
        <f t="shared" si="104"/>
        <v>0.06</v>
      </c>
      <c r="J485">
        <f t="shared" si="105"/>
        <v>0.03</v>
      </c>
      <c r="K485">
        <f t="shared" si="106"/>
        <v>0</v>
      </c>
      <c r="L485">
        <f t="shared" si="107"/>
        <v>-0.03</v>
      </c>
      <c r="M485">
        <f t="shared" si="108"/>
        <v>-0.06</v>
      </c>
      <c r="N485">
        <f t="shared" si="109"/>
        <v>-0.09</v>
      </c>
      <c r="O485">
        <f t="shared" si="110"/>
        <v>-0.12</v>
      </c>
      <c r="P485">
        <f t="shared" si="111"/>
        <v>-0.15</v>
      </c>
    </row>
    <row r="486" spans="1:16" x14ac:dyDescent="0.3">
      <c r="A486" s="6">
        <v>46476</v>
      </c>
      <c r="B486" s="8">
        <f t="shared" si="99"/>
        <v>89</v>
      </c>
      <c r="C486" s="8">
        <f t="shared" si="100"/>
        <v>95</v>
      </c>
      <c r="D486" s="7">
        <f t="shared" si="101"/>
        <v>-0.15</v>
      </c>
      <c r="F486">
        <f t="shared" si="98"/>
        <v>0.15</v>
      </c>
      <c r="G486">
        <f t="shared" si="102"/>
        <v>0.12</v>
      </c>
      <c r="H486">
        <f t="shared" si="103"/>
        <v>0.09</v>
      </c>
      <c r="I486">
        <f t="shared" si="104"/>
        <v>0.06</v>
      </c>
      <c r="J486">
        <f t="shared" si="105"/>
        <v>0.03</v>
      </c>
      <c r="K486">
        <f t="shared" si="106"/>
        <v>0</v>
      </c>
      <c r="L486">
        <f t="shared" si="107"/>
        <v>-0.03</v>
      </c>
      <c r="M486">
        <f t="shared" si="108"/>
        <v>-0.06</v>
      </c>
      <c r="N486">
        <f t="shared" si="109"/>
        <v>-0.09</v>
      </c>
      <c r="O486">
        <f t="shared" si="110"/>
        <v>-0.12</v>
      </c>
      <c r="P486">
        <f t="shared" si="111"/>
        <v>-0.15</v>
      </c>
    </row>
    <row r="487" spans="1:16" x14ac:dyDescent="0.3">
      <c r="A487" s="6">
        <v>46477</v>
      </c>
      <c r="B487" s="8">
        <f t="shared" si="99"/>
        <v>90</v>
      </c>
      <c r="C487" s="8">
        <f t="shared" si="100"/>
        <v>96</v>
      </c>
      <c r="D487" s="7">
        <f t="shared" si="101"/>
        <v>-0.15</v>
      </c>
      <c r="F487">
        <f t="shared" si="98"/>
        <v>0.15</v>
      </c>
      <c r="G487">
        <f t="shared" si="102"/>
        <v>0.12</v>
      </c>
      <c r="H487">
        <f t="shared" si="103"/>
        <v>0.09</v>
      </c>
      <c r="I487">
        <f t="shared" si="104"/>
        <v>0.06</v>
      </c>
      <c r="J487">
        <f t="shared" si="105"/>
        <v>0.03</v>
      </c>
      <c r="K487">
        <f t="shared" si="106"/>
        <v>0</v>
      </c>
      <c r="L487">
        <f t="shared" si="107"/>
        <v>-0.03</v>
      </c>
      <c r="M487">
        <f t="shared" si="108"/>
        <v>-0.06</v>
      </c>
      <c r="N487">
        <f t="shared" si="109"/>
        <v>-0.09</v>
      </c>
      <c r="O487">
        <f t="shared" si="110"/>
        <v>-0.12</v>
      </c>
      <c r="P487">
        <f t="shared" si="111"/>
        <v>-0.15</v>
      </c>
    </row>
    <row r="488" spans="1:16" x14ac:dyDescent="0.3">
      <c r="A488" s="6">
        <v>46478</v>
      </c>
      <c r="B488" s="8">
        <f t="shared" si="99"/>
        <v>91</v>
      </c>
      <c r="C488" s="8">
        <f t="shared" si="100"/>
        <v>97</v>
      </c>
      <c r="D488" s="7">
        <f t="shared" si="101"/>
        <v>-0.15</v>
      </c>
      <c r="F488">
        <f t="shared" si="98"/>
        <v>0.15</v>
      </c>
      <c r="G488">
        <f t="shared" si="102"/>
        <v>0.12</v>
      </c>
      <c r="H488">
        <f t="shared" si="103"/>
        <v>0.09</v>
      </c>
      <c r="I488">
        <f t="shared" si="104"/>
        <v>0.06</v>
      </c>
      <c r="J488">
        <f t="shared" si="105"/>
        <v>0.03</v>
      </c>
      <c r="K488">
        <f t="shared" si="106"/>
        <v>0</v>
      </c>
      <c r="L488">
        <f t="shared" si="107"/>
        <v>-0.03</v>
      </c>
      <c r="M488">
        <f t="shared" si="108"/>
        <v>-0.06</v>
      </c>
      <c r="N488">
        <f t="shared" si="109"/>
        <v>-0.09</v>
      </c>
      <c r="O488">
        <f t="shared" si="110"/>
        <v>-0.12</v>
      </c>
      <c r="P488">
        <f t="shared" si="111"/>
        <v>-0.15</v>
      </c>
    </row>
    <row r="489" spans="1:16" x14ac:dyDescent="0.3">
      <c r="A489" s="6">
        <v>46479</v>
      </c>
      <c r="B489" s="8">
        <f t="shared" si="99"/>
        <v>92</v>
      </c>
      <c r="C489" s="8">
        <f t="shared" si="100"/>
        <v>98</v>
      </c>
      <c r="D489" s="7">
        <f t="shared" si="101"/>
        <v>-0.15</v>
      </c>
      <c r="F489">
        <f t="shared" si="98"/>
        <v>0.15</v>
      </c>
      <c r="G489">
        <f t="shared" si="102"/>
        <v>0.12</v>
      </c>
      <c r="H489">
        <f t="shared" si="103"/>
        <v>0.09</v>
      </c>
      <c r="I489">
        <f t="shared" si="104"/>
        <v>0.06</v>
      </c>
      <c r="J489">
        <f t="shared" si="105"/>
        <v>0.03</v>
      </c>
      <c r="K489">
        <f t="shared" si="106"/>
        <v>0</v>
      </c>
      <c r="L489">
        <f t="shared" si="107"/>
        <v>-0.03</v>
      </c>
      <c r="M489">
        <f t="shared" si="108"/>
        <v>-0.06</v>
      </c>
      <c r="N489">
        <f t="shared" si="109"/>
        <v>-0.09</v>
      </c>
      <c r="O489">
        <f t="shared" si="110"/>
        <v>-0.12</v>
      </c>
      <c r="P489">
        <f t="shared" si="111"/>
        <v>-0.15</v>
      </c>
    </row>
    <row r="490" spans="1:16" x14ac:dyDescent="0.3">
      <c r="A490" s="6">
        <v>46480</v>
      </c>
      <c r="B490" s="8">
        <f t="shared" si="99"/>
        <v>93</v>
      </c>
      <c r="C490" s="8">
        <f t="shared" si="100"/>
        <v>99</v>
      </c>
      <c r="D490" s="7">
        <f t="shared" si="101"/>
        <v>-0.15</v>
      </c>
      <c r="F490">
        <f t="shared" si="98"/>
        <v>0.15</v>
      </c>
      <c r="G490">
        <f t="shared" si="102"/>
        <v>0.12</v>
      </c>
      <c r="H490">
        <f t="shared" si="103"/>
        <v>0.09</v>
      </c>
      <c r="I490">
        <f t="shared" si="104"/>
        <v>0.06</v>
      </c>
      <c r="J490">
        <f t="shared" si="105"/>
        <v>0.03</v>
      </c>
      <c r="K490">
        <f t="shared" si="106"/>
        <v>0</v>
      </c>
      <c r="L490">
        <f t="shared" si="107"/>
        <v>-0.03</v>
      </c>
      <c r="M490">
        <f t="shared" si="108"/>
        <v>-0.06</v>
      </c>
      <c r="N490">
        <f t="shared" si="109"/>
        <v>-0.09</v>
      </c>
      <c r="O490">
        <f t="shared" si="110"/>
        <v>-0.12</v>
      </c>
      <c r="P490">
        <f t="shared" si="111"/>
        <v>-0.15</v>
      </c>
    </row>
    <row r="491" spans="1:16" x14ac:dyDescent="0.3">
      <c r="A491" s="6">
        <v>46481</v>
      </c>
      <c r="B491" s="8">
        <f t="shared" si="99"/>
        <v>94</v>
      </c>
      <c r="C491" s="8">
        <f t="shared" si="100"/>
        <v>100</v>
      </c>
      <c r="D491" s="7">
        <f t="shared" si="101"/>
        <v>-0.15</v>
      </c>
      <c r="F491">
        <f t="shared" si="98"/>
        <v>0.15</v>
      </c>
      <c r="G491">
        <f t="shared" si="102"/>
        <v>0.12</v>
      </c>
      <c r="H491">
        <f t="shared" si="103"/>
        <v>0.09</v>
      </c>
      <c r="I491">
        <f t="shared" si="104"/>
        <v>0.06</v>
      </c>
      <c r="J491">
        <f t="shared" si="105"/>
        <v>0.03</v>
      </c>
      <c r="K491">
        <f t="shared" si="106"/>
        <v>0</v>
      </c>
      <c r="L491">
        <f t="shared" si="107"/>
        <v>-0.03</v>
      </c>
      <c r="M491">
        <f t="shared" si="108"/>
        <v>-0.06</v>
      </c>
      <c r="N491">
        <f t="shared" si="109"/>
        <v>-0.09</v>
      </c>
      <c r="O491">
        <f t="shared" si="110"/>
        <v>-0.12</v>
      </c>
      <c r="P491">
        <f t="shared" si="111"/>
        <v>-0.15</v>
      </c>
    </row>
    <row r="492" spans="1:16" x14ac:dyDescent="0.3">
      <c r="A492" s="6">
        <v>46482</v>
      </c>
      <c r="B492" s="8">
        <f t="shared" si="99"/>
        <v>95</v>
      </c>
      <c r="C492" s="8">
        <f t="shared" si="100"/>
        <v>101</v>
      </c>
      <c r="D492" s="7">
        <f t="shared" si="101"/>
        <v>-0.15</v>
      </c>
      <c r="F492">
        <f t="shared" si="98"/>
        <v>0.15</v>
      </c>
      <c r="G492">
        <f t="shared" si="102"/>
        <v>0.12</v>
      </c>
      <c r="H492">
        <f t="shared" si="103"/>
        <v>0.09</v>
      </c>
      <c r="I492">
        <f t="shared" si="104"/>
        <v>0.06</v>
      </c>
      <c r="J492">
        <f t="shared" si="105"/>
        <v>0.03</v>
      </c>
      <c r="K492">
        <f t="shared" si="106"/>
        <v>0</v>
      </c>
      <c r="L492">
        <f t="shared" si="107"/>
        <v>-0.03</v>
      </c>
      <c r="M492">
        <f t="shared" si="108"/>
        <v>-0.06</v>
      </c>
      <c r="N492">
        <f t="shared" si="109"/>
        <v>-0.09</v>
      </c>
      <c r="O492">
        <f t="shared" si="110"/>
        <v>-0.12</v>
      </c>
      <c r="P492">
        <f t="shared" si="111"/>
        <v>-0.15</v>
      </c>
    </row>
    <row r="493" spans="1:16" x14ac:dyDescent="0.3">
      <c r="A493" s="6">
        <v>46483</v>
      </c>
      <c r="B493" s="8">
        <f t="shared" si="99"/>
        <v>96</v>
      </c>
      <c r="C493" s="8">
        <f t="shared" si="100"/>
        <v>102</v>
      </c>
      <c r="D493" s="7">
        <f t="shared" si="101"/>
        <v>-0.15</v>
      </c>
      <c r="F493">
        <f t="shared" si="98"/>
        <v>0.15</v>
      </c>
      <c r="G493">
        <f t="shared" si="102"/>
        <v>0.12</v>
      </c>
      <c r="H493">
        <f t="shared" si="103"/>
        <v>0.09</v>
      </c>
      <c r="I493">
        <f t="shared" si="104"/>
        <v>0.06</v>
      </c>
      <c r="J493">
        <f t="shared" si="105"/>
        <v>0.03</v>
      </c>
      <c r="K493">
        <f t="shared" si="106"/>
        <v>0</v>
      </c>
      <c r="L493">
        <f t="shared" si="107"/>
        <v>-0.03</v>
      </c>
      <c r="M493">
        <f t="shared" si="108"/>
        <v>-0.06</v>
      </c>
      <c r="N493">
        <f t="shared" si="109"/>
        <v>-0.09</v>
      </c>
      <c r="O493">
        <f t="shared" si="110"/>
        <v>-0.12</v>
      </c>
      <c r="P493">
        <f t="shared" si="111"/>
        <v>-0.15</v>
      </c>
    </row>
    <row r="494" spans="1:16" x14ac:dyDescent="0.3">
      <c r="A494" s="6">
        <v>46484</v>
      </c>
      <c r="B494" s="8">
        <f t="shared" si="99"/>
        <v>97</v>
      </c>
      <c r="C494" s="8">
        <f t="shared" si="100"/>
        <v>103</v>
      </c>
      <c r="D494" s="7">
        <f t="shared" si="101"/>
        <v>-0.15</v>
      </c>
      <c r="F494">
        <f t="shared" si="98"/>
        <v>0.15</v>
      </c>
      <c r="G494">
        <f t="shared" si="102"/>
        <v>0.12</v>
      </c>
      <c r="H494">
        <f t="shared" si="103"/>
        <v>0.09</v>
      </c>
      <c r="I494">
        <f t="shared" si="104"/>
        <v>0.06</v>
      </c>
      <c r="J494">
        <f t="shared" si="105"/>
        <v>0.03</v>
      </c>
      <c r="K494">
        <f t="shared" si="106"/>
        <v>0</v>
      </c>
      <c r="L494">
        <f t="shared" si="107"/>
        <v>-0.03</v>
      </c>
      <c r="M494">
        <f t="shared" si="108"/>
        <v>-0.06</v>
      </c>
      <c r="N494">
        <f t="shared" si="109"/>
        <v>-0.09</v>
      </c>
      <c r="O494">
        <f t="shared" si="110"/>
        <v>-0.12</v>
      </c>
      <c r="P494">
        <f t="shared" si="111"/>
        <v>-0.15</v>
      </c>
    </row>
    <row r="495" spans="1:16" x14ac:dyDescent="0.3">
      <c r="A495" s="6">
        <v>46485</v>
      </c>
      <c r="B495" s="8">
        <f t="shared" si="99"/>
        <v>98</v>
      </c>
      <c r="C495" s="8">
        <f t="shared" si="100"/>
        <v>104</v>
      </c>
      <c r="D495" s="7">
        <f t="shared" si="101"/>
        <v>-0.15</v>
      </c>
      <c r="F495">
        <f t="shared" ref="F495:F550" si="112">(-10/10) * D495</f>
        <v>0.15</v>
      </c>
      <c r="G495">
        <f t="shared" si="102"/>
        <v>0.12</v>
      </c>
      <c r="H495">
        <f t="shared" si="103"/>
        <v>0.09</v>
      </c>
      <c r="I495">
        <f t="shared" si="104"/>
        <v>0.06</v>
      </c>
      <c r="J495">
        <f t="shared" si="105"/>
        <v>0.03</v>
      </c>
      <c r="K495">
        <f t="shared" si="106"/>
        <v>0</v>
      </c>
      <c r="L495">
        <f t="shared" si="107"/>
        <v>-0.03</v>
      </c>
      <c r="M495">
        <f t="shared" si="108"/>
        <v>-0.06</v>
      </c>
      <c r="N495">
        <f t="shared" si="109"/>
        <v>-0.09</v>
      </c>
      <c r="O495">
        <f t="shared" si="110"/>
        <v>-0.12</v>
      </c>
      <c r="P495">
        <f t="shared" si="111"/>
        <v>-0.15</v>
      </c>
    </row>
    <row r="496" spans="1:16" x14ac:dyDescent="0.3">
      <c r="A496" s="6">
        <v>46486</v>
      </c>
      <c r="B496" s="8">
        <f t="shared" si="99"/>
        <v>99</v>
      </c>
      <c r="C496" s="8">
        <f t="shared" si="100"/>
        <v>105</v>
      </c>
      <c r="D496" s="7">
        <f t="shared" si="101"/>
        <v>-0.15</v>
      </c>
      <c r="F496">
        <f t="shared" si="112"/>
        <v>0.15</v>
      </c>
      <c r="G496">
        <f t="shared" si="102"/>
        <v>0.12</v>
      </c>
      <c r="H496">
        <f t="shared" si="103"/>
        <v>0.09</v>
      </c>
      <c r="I496">
        <f t="shared" si="104"/>
        <v>0.06</v>
      </c>
      <c r="J496">
        <f t="shared" si="105"/>
        <v>0.03</v>
      </c>
      <c r="K496">
        <f t="shared" si="106"/>
        <v>0</v>
      </c>
      <c r="L496">
        <f t="shared" si="107"/>
        <v>-0.03</v>
      </c>
      <c r="M496">
        <f t="shared" si="108"/>
        <v>-0.06</v>
      </c>
      <c r="N496">
        <f t="shared" si="109"/>
        <v>-0.09</v>
      </c>
      <c r="O496">
        <f t="shared" si="110"/>
        <v>-0.12</v>
      </c>
      <c r="P496">
        <f t="shared" si="111"/>
        <v>-0.15</v>
      </c>
    </row>
    <row r="497" spans="1:16" x14ac:dyDescent="0.3">
      <c r="A497" s="6">
        <v>46487</v>
      </c>
      <c r="B497" s="8">
        <f t="shared" si="99"/>
        <v>100</v>
      </c>
      <c r="C497" s="8">
        <f t="shared" si="100"/>
        <v>106</v>
      </c>
      <c r="D497" s="7">
        <f t="shared" si="101"/>
        <v>-0.15</v>
      </c>
      <c r="F497">
        <f t="shared" si="112"/>
        <v>0.15</v>
      </c>
      <c r="G497">
        <f t="shared" si="102"/>
        <v>0.12</v>
      </c>
      <c r="H497">
        <f t="shared" si="103"/>
        <v>0.09</v>
      </c>
      <c r="I497">
        <f t="shared" si="104"/>
        <v>0.06</v>
      </c>
      <c r="J497">
        <f t="shared" si="105"/>
        <v>0.03</v>
      </c>
      <c r="K497">
        <f t="shared" si="106"/>
        <v>0</v>
      </c>
      <c r="L497">
        <f t="shared" si="107"/>
        <v>-0.03</v>
      </c>
      <c r="M497">
        <f t="shared" si="108"/>
        <v>-0.06</v>
      </c>
      <c r="N497">
        <f t="shared" si="109"/>
        <v>-0.09</v>
      </c>
      <c r="O497">
        <f t="shared" si="110"/>
        <v>-0.12</v>
      </c>
      <c r="P497">
        <f t="shared" si="111"/>
        <v>-0.15</v>
      </c>
    </row>
    <row r="498" spans="1:16" x14ac:dyDescent="0.3">
      <c r="A498" s="6">
        <v>46488</v>
      </c>
      <c r="B498" s="8">
        <f t="shared" si="99"/>
        <v>101</v>
      </c>
      <c r="C498" s="8">
        <f t="shared" si="100"/>
        <v>107</v>
      </c>
      <c r="D498" s="7">
        <f t="shared" si="101"/>
        <v>-0.15</v>
      </c>
      <c r="F498">
        <f t="shared" si="112"/>
        <v>0.15</v>
      </c>
      <c r="G498">
        <f t="shared" si="102"/>
        <v>0.12</v>
      </c>
      <c r="H498">
        <f t="shared" si="103"/>
        <v>0.09</v>
      </c>
      <c r="I498">
        <f t="shared" si="104"/>
        <v>0.06</v>
      </c>
      <c r="J498">
        <f t="shared" si="105"/>
        <v>0.03</v>
      </c>
      <c r="K498">
        <f t="shared" si="106"/>
        <v>0</v>
      </c>
      <c r="L498">
        <f t="shared" si="107"/>
        <v>-0.03</v>
      </c>
      <c r="M498">
        <f t="shared" si="108"/>
        <v>-0.06</v>
      </c>
      <c r="N498">
        <f t="shared" si="109"/>
        <v>-0.09</v>
      </c>
      <c r="O498">
        <f t="shared" si="110"/>
        <v>-0.12</v>
      </c>
      <c r="P498">
        <f t="shared" si="111"/>
        <v>-0.15</v>
      </c>
    </row>
    <row r="499" spans="1:16" x14ac:dyDescent="0.3">
      <c r="A499" s="6">
        <v>46489</v>
      </c>
      <c r="B499" s="8">
        <f t="shared" si="99"/>
        <v>102</v>
      </c>
      <c r="C499" s="8">
        <f t="shared" si="100"/>
        <v>108</v>
      </c>
      <c r="D499" s="7">
        <f t="shared" si="101"/>
        <v>-0.15</v>
      </c>
      <c r="F499">
        <f t="shared" si="112"/>
        <v>0.15</v>
      </c>
      <c r="G499">
        <f t="shared" si="102"/>
        <v>0.12</v>
      </c>
      <c r="H499">
        <f t="shared" si="103"/>
        <v>0.09</v>
      </c>
      <c r="I499">
        <f t="shared" si="104"/>
        <v>0.06</v>
      </c>
      <c r="J499">
        <f t="shared" si="105"/>
        <v>0.03</v>
      </c>
      <c r="K499">
        <f t="shared" si="106"/>
        <v>0</v>
      </c>
      <c r="L499">
        <f t="shared" si="107"/>
        <v>-0.03</v>
      </c>
      <c r="M499">
        <f t="shared" si="108"/>
        <v>-0.06</v>
      </c>
      <c r="N499">
        <f t="shared" si="109"/>
        <v>-0.09</v>
      </c>
      <c r="O499">
        <f t="shared" si="110"/>
        <v>-0.12</v>
      </c>
      <c r="P499">
        <f t="shared" si="111"/>
        <v>-0.15</v>
      </c>
    </row>
    <row r="500" spans="1:16" x14ac:dyDescent="0.3">
      <c r="A500" s="6">
        <v>46490</v>
      </c>
      <c r="B500" s="8">
        <f t="shared" si="99"/>
        <v>103</v>
      </c>
      <c r="C500" s="8">
        <f t="shared" si="100"/>
        <v>109</v>
      </c>
      <c r="D500" s="7">
        <f t="shared" si="101"/>
        <v>-0.15</v>
      </c>
      <c r="F500">
        <f t="shared" si="112"/>
        <v>0.15</v>
      </c>
      <c r="G500">
        <f t="shared" si="102"/>
        <v>0.12</v>
      </c>
      <c r="H500">
        <f t="shared" si="103"/>
        <v>0.09</v>
      </c>
      <c r="I500">
        <f t="shared" si="104"/>
        <v>0.06</v>
      </c>
      <c r="J500">
        <f t="shared" si="105"/>
        <v>0.03</v>
      </c>
      <c r="K500">
        <f t="shared" si="106"/>
        <v>0</v>
      </c>
      <c r="L500">
        <f t="shared" si="107"/>
        <v>-0.03</v>
      </c>
      <c r="M500">
        <f t="shared" si="108"/>
        <v>-0.06</v>
      </c>
      <c r="N500">
        <f t="shared" si="109"/>
        <v>-0.09</v>
      </c>
      <c r="O500">
        <f t="shared" si="110"/>
        <v>-0.12</v>
      </c>
      <c r="P500">
        <f t="shared" si="111"/>
        <v>-0.15</v>
      </c>
    </row>
    <row r="501" spans="1:16" x14ac:dyDescent="0.3">
      <c r="A501" s="6">
        <v>46491</v>
      </c>
      <c r="B501" s="8">
        <f t="shared" si="99"/>
        <v>104</v>
      </c>
      <c r="C501" s="8">
        <f t="shared" si="100"/>
        <v>110</v>
      </c>
      <c r="D501" s="7">
        <f t="shared" si="101"/>
        <v>-0.15</v>
      </c>
      <c r="F501">
        <f t="shared" si="112"/>
        <v>0.15</v>
      </c>
      <c r="G501">
        <f t="shared" si="102"/>
        <v>0.12</v>
      </c>
      <c r="H501">
        <f t="shared" si="103"/>
        <v>0.09</v>
      </c>
      <c r="I501">
        <f t="shared" si="104"/>
        <v>0.06</v>
      </c>
      <c r="J501">
        <f t="shared" si="105"/>
        <v>0.03</v>
      </c>
      <c r="K501">
        <f t="shared" si="106"/>
        <v>0</v>
      </c>
      <c r="L501">
        <f t="shared" si="107"/>
        <v>-0.03</v>
      </c>
      <c r="M501">
        <f t="shared" si="108"/>
        <v>-0.06</v>
      </c>
      <c r="N501">
        <f t="shared" si="109"/>
        <v>-0.09</v>
      </c>
      <c r="O501">
        <f t="shared" si="110"/>
        <v>-0.12</v>
      </c>
      <c r="P501">
        <f t="shared" si="111"/>
        <v>-0.15</v>
      </c>
    </row>
    <row r="502" spans="1:16" x14ac:dyDescent="0.3">
      <c r="A502" s="6">
        <v>46492</v>
      </c>
      <c r="B502" s="8">
        <f t="shared" si="99"/>
        <v>105</v>
      </c>
      <c r="C502" s="8">
        <f t="shared" si="100"/>
        <v>111</v>
      </c>
      <c r="D502" s="7">
        <f t="shared" si="101"/>
        <v>-0.15</v>
      </c>
      <c r="F502">
        <f t="shared" si="112"/>
        <v>0.15</v>
      </c>
      <c r="G502">
        <f t="shared" si="102"/>
        <v>0.12</v>
      </c>
      <c r="H502">
        <f t="shared" si="103"/>
        <v>0.09</v>
      </c>
      <c r="I502">
        <f t="shared" si="104"/>
        <v>0.06</v>
      </c>
      <c r="J502">
        <f t="shared" si="105"/>
        <v>0.03</v>
      </c>
      <c r="K502">
        <f t="shared" si="106"/>
        <v>0</v>
      </c>
      <c r="L502">
        <f t="shared" si="107"/>
        <v>-0.03</v>
      </c>
      <c r="M502">
        <f t="shared" si="108"/>
        <v>-0.06</v>
      </c>
      <c r="N502">
        <f t="shared" si="109"/>
        <v>-0.09</v>
      </c>
      <c r="O502">
        <f t="shared" si="110"/>
        <v>-0.12</v>
      </c>
      <c r="P502">
        <f t="shared" si="111"/>
        <v>-0.15</v>
      </c>
    </row>
    <row r="503" spans="1:16" x14ac:dyDescent="0.3">
      <c r="A503" s="6">
        <v>46493</v>
      </c>
      <c r="B503" s="8">
        <f t="shared" si="99"/>
        <v>106</v>
      </c>
      <c r="C503" s="8">
        <f t="shared" si="100"/>
        <v>112</v>
      </c>
      <c r="D503" s="7">
        <f t="shared" si="101"/>
        <v>-0.15</v>
      </c>
      <c r="F503">
        <f t="shared" si="112"/>
        <v>0.15</v>
      </c>
      <c r="G503">
        <f t="shared" si="102"/>
        <v>0.12</v>
      </c>
      <c r="H503">
        <f t="shared" si="103"/>
        <v>0.09</v>
      </c>
      <c r="I503">
        <f t="shared" si="104"/>
        <v>0.06</v>
      </c>
      <c r="J503">
        <f t="shared" si="105"/>
        <v>0.03</v>
      </c>
      <c r="K503">
        <f t="shared" si="106"/>
        <v>0</v>
      </c>
      <c r="L503">
        <f t="shared" si="107"/>
        <v>-0.03</v>
      </c>
      <c r="M503">
        <f t="shared" si="108"/>
        <v>-0.06</v>
      </c>
      <c r="N503">
        <f t="shared" si="109"/>
        <v>-0.09</v>
      </c>
      <c r="O503">
        <f t="shared" si="110"/>
        <v>-0.12</v>
      </c>
      <c r="P503">
        <f t="shared" si="111"/>
        <v>-0.15</v>
      </c>
    </row>
    <row r="504" spans="1:16" x14ac:dyDescent="0.3">
      <c r="A504" s="6">
        <v>46494</v>
      </c>
      <c r="B504" s="8">
        <f t="shared" si="99"/>
        <v>107</v>
      </c>
      <c r="C504" s="8">
        <f t="shared" si="100"/>
        <v>113</v>
      </c>
      <c r="D504" s="7">
        <f t="shared" si="101"/>
        <v>-0.15</v>
      </c>
      <c r="F504">
        <f t="shared" si="112"/>
        <v>0.15</v>
      </c>
      <c r="G504">
        <f t="shared" si="102"/>
        <v>0.12</v>
      </c>
      <c r="H504">
        <f t="shared" si="103"/>
        <v>0.09</v>
      </c>
      <c r="I504">
        <f t="shared" si="104"/>
        <v>0.06</v>
      </c>
      <c r="J504">
        <f t="shared" si="105"/>
        <v>0.03</v>
      </c>
      <c r="K504">
        <f t="shared" si="106"/>
        <v>0</v>
      </c>
      <c r="L504">
        <f t="shared" si="107"/>
        <v>-0.03</v>
      </c>
      <c r="M504">
        <f t="shared" si="108"/>
        <v>-0.06</v>
      </c>
      <c r="N504">
        <f t="shared" si="109"/>
        <v>-0.09</v>
      </c>
      <c r="O504">
        <f t="shared" si="110"/>
        <v>-0.12</v>
      </c>
      <c r="P504">
        <f t="shared" si="111"/>
        <v>-0.15</v>
      </c>
    </row>
    <row r="505" spans="1:16" x14ac:dyDescent="0.3">
      <c r="A505" s="6">
        <v>46495</v>
      </c>
      <c r="B505" s="8">
        <f t="shared" si="99"/>
        <v>108</v>
      </c>
      <c r="C505" s="8">
        <f t="shared" si="100"/>
        <v>114</v>
      </c>
      <c r="D505" s="7">
        <f t="shared" si="101"/>
        <v>-0.15</v>
      </c>
      <c r="F505">
        <f t="shared" si="112"/>
        <v>0.15</v>
      </c>
      <c r="G505">
        <f t="shared" si="102"/>
        <v>0.12</v>
      </c>
      <c r="H505">
        <f t="shared" si="103"/>
        <v>0.09</v>
      </c>
      <c r="I505">
        <f t="shared" si="104"/>
        <v>0.06</v>
      </c>
      <c r="J505">
        <f t="shared" si="105"/>
        <v>0.03</v>
      </c>
      <c r="K505">
        <f t="shared" si="106"/>
        <v>0</v>
      </c>
      <c r="L505">
        <f t="shared" si="107"/>
        <v>-0.03</v>
      </c>
      <c r="M505">
        <f t="shared" si="108"/>
        <v>-0.06</v>
      </c>
      <c r="N505">
        <f t="shared" si="109"/>
        <v>-0.09</v>
      </c>
      <c r="O505">
        <f t="shared" si="110"/>
        <v>-0.12</v>
      </c>
      <c r="P505">
        <f t="shared" si="111"/>
        <v>-0.15</v>
      </c>
    </row>
    <row r="506" spans="1:16" x14ac:dyDescent="0.3">
      <c r="A506" s="6">
        <v>46496</v>
      </c>
      <c r="B506" s="8">
        <f t="shared" si="99"/>
        <v>109</v>
      </c>
      <c r="C506" s="8">
        <f t="shared" si="100"/>
        <v>115</v>
      </c>
      <c r="D506" s="7">
        <f t="shared" si="101"/>
        <v>-0.15</v>
      </c>
      <c r="F506">
        <f t="shared" si="112"/>
        <v>0.15</v>
      </c>
      <c r="G506">
        <f t="shared" si="102"/>
        <v>0.12</v>
      </c>
      <c r="H506">
        <f t="shared" si="103"/>
        <v>0.09</v>
      </c>
      <c r="I506">
        <f t="shared" si="104"/>
        <v>0.06</v>
      </c>
      <c r="J506">
        <f t="shared" si="105"/>
        <v>0.03</v>
      </c>
      <c r="K506">
        <f t="shared" si="106"/>
        <v>0</v>
      </c>
      <c r="L506">
        <f t="shared" si="107"/>
        <v>-0.03</v>
      </c>
      <c r="M506">
        <f t="shared" si="108"/>
        <v>-0.06</v>
      </c>
      <c r="N506">
        <f t="shared" si="109"/>
        <v>-0.09</v>
      </c>
      <c r="O506">
        <f t="shared" si="110"/>
        <v>-0.12</v>
      </c>
      <c r="P506">
        <f t="shared" si="111"/>
        <v>-0.15</v>
      </c>
    </row>
    <row r="507" spans="1:16" x14ac:dyDescent="0.3">
      <c r="A507" s="6">
        <v>46497</v>
      </c>
      <c r="B507" s="8">
        <f t="shared" si="99"/>
        <v>110</v>
      </c>
      <c r="C507" s="8">
        <f t="shared" si="100"/>
        <v>116</v>
      </c>
      <c r="D507" s="7">
        <f t="shared" si="101"/>
        <v>-0.15</v>
      </c>
      <c r="F507">
        <f t="shared" si="112"/>
        <v>0.15</v>
      </c>
      <c r="G507">
        <f t="shared" si="102"/>
        <v>0.12</v>
      </c>
      <c r="H507">
        <f t="shared" si="103"/>
        <v>0.09</v>
      </c>
      <c r="I507">
        <f t="shared" si="104"/>
        <v>0.06</v>
      </c>
      <c r="J507">
        <f t="shared" si="105"/>
        <v>0.03</v>
      </c>
      <c r="K507">
        <f t="shared" si="106"/>
        <v>0</v>
      </c>
      <c r="L507">
        <f t="shared" si="107"/>
        <v>-0.03</v>
      </c>
      <c r="M507">
        <f t="shared" si="108"/>
        <v>-0.06</v>
      </c>
      <c r="N507">
        <f t="shared" si="109"/>
        <v>-0.09</v>
      </c>
      <c r="O507">
        <f t="shared" si="110"/>
        <v>-0.12</v>
      </c>
      <c r="P507">
        <f t="shared" si="111"/>
        <v>-0.15</v>
      </c>
    </row>
    <row r="508" spans="1:16" x14ac:dyDescent="0.3">
      <c r="A508" s="6">
        <v>46498</v>
      </c>
      <c r="B508" s="8">
        <f t="shared" si="99"/>
        <v>111</v>
      </c>
      <c r="C508" s="8">
        <f t="shared" si="100"/>
        <v>117</v>
      </c>
      <c r="D508" s="7">
        <f t="shared" si="101"/>
        <v>-0.15</v>
      </c>
      <c r="F508">
        <f t="shared" si="112"/>
        <v>0.15</v>
      </c>
      <c r="G508">
        <f t="shared" si="102"/>
        <v>0.12</v>
      </c>
      <c r="H508">
        <f t="shared" si="103"/>
        <v>0.09</v>
      </c>
      <c r="I508">
        <f t="shared" si="104"/>
        <v>0.06</v>
      </c>
      <c r="J508">
        <f t="shared" si="105"/>
        <v>0.03</v>
      </c>
      <c r="K508">
        <f t="shared" si="106"/>
        <v>0</v>
      </c>
      <c r="L508">
        <f t="shared" si="107"/>
        <v>-0.03</v>
      </c>
      <c r="M508">
        <f t="shared" si="108"/>
        <v>-0.06</v>
      </c>
      <c r="N508">
        <f t="shared" si="109"/>
        <v>-0.09</v>
      </c>
      <c r="O508">
        <f t="shared" si="110"/>
        <v>-0.12</v>
      </c>
      <c r="P508">
        <f t="shared" si="111"/>
        <v>-0.15</v>
      </c>
    </row>
    <row r="509" spans="1:16" x14ac:dyDescent="0.3">
      <c r="A509" s="6">
        <v>46499</v>
      </c>
      <c r="B509" s="8">
        <f t="shared" si="99"/>
        <v>112</v>
      </c>
      <c r="C509" s="8">
        <f t="shared" si="100"/>
        <v>118</v>
      </c>
      <c r="D509" s="7">
        <f t="shared" si="101"/>
        <v>-0.15</v>
      </c>
      <c r="F509">
        <f t="shared" si="112"/>
        <v>0.15</v>
      </c>
      <c r="G509">
        <f t="shared" si="102"/>
        <v>0.12</v>
      </c>
      <c r="H509">
        <f t="shared" si="103"/>
        <v>0.09</v>
      </c>
      <c r="I509">
        <f t="shared" si="104"/>
        <v>0.06</v>
      </c>
      <c r="J509">
        <f t="shared" si="105"/>
        <v>0.03</v>
      </c>
      <c r="K509">
        <f t="shared" si="106"/>
        <v>0</v>
      </c>
      <c r="L509">
        <f t="shared" si="107"/>
        <v>-0.03</v>
      </c>
      <c r="M509">
        <f t="shared" si="108"/>
        <v>-0.06</v>
      </c>
      <c r="N509">
        <f t="shared" si="109"/>
        <v>-0.09</v>
      </c>
      <c r="O509">
        <f t="shared" si="110"/>
        <v>-0.12</v>
      </c>
      <c r="P509">
        <f t="shared" si="111"/>
        <v>-0.15</v>
      </c>
    </row>
    <row r="510" spans="1:16" x14ac:dyDescent="0.3">
      <c r="A510" s="6">
        <v>46500</v>
      </c>
      <c r="B510" s="8">
        <f t="shared" si="99"/>
        <v>113</v>
      </c>
      <c r="C510" s="8">
        <f t="shared" si="100"/>
        <v>119</v>
      </c>
      <c r="D510" s="7">
        <f t="shared" si="101"/>
        <v>-0.15</v>
      </c>
      <c r="F510">
        <f t="shared" si="112"/>
        <v>0.15</v>
      </c>
      <c r="G510">
        <f t="shared" si="102"/>
        <v>0.12</v>
      </c>
      <c r="H510">
        <f t="shared" si="103"/>
        <v>0.09</v>
      </c>
      <c r="I510">
        <f t="shared" si="104"/>
        <v>0.06</v>
      </c>
      <c r="J510">
        <f t="shared" si="105"/>
        <v>0.03</v>
      </c>
      <c r="K510">
        <f t="shared" si="106"/>
        <v>0</v>
      </c>
      <c r="L510">
        <f t="shared" si="107"/>
        <v>-0.03</v>
      </c>
      <c r="M510">
        <f t="shared" si="108"/>
        <v>-0.06</v>
      </c>
      <c r="N510">
        <f t="shared" si="109"/>
        <v>-0.09</v>
      </c>
      <c r="O510">
        <f t="shared" si="110"/>
        <v>-0.12</v>
      </c>
      <c r="P510">
        <f t="shared" si="111"/>
        <v>-0.15</v>
      </c>
    </row>
    <row r="511" spans="1:16" x14ac:dyDescent="0.3">
      <c r="A511" s="6">
        <v>46501</v>
      </c>
      <c r="B511" s="8">
        <f t="shared" si="99"/>
        <v>114</v>
      </c>
      <c r="C511" s="8">
        <f t="shared" si="100"/>
        <v>120</v>
      </c>
      <c r="D511" s="7">
        <f t="shared" si="101"/>
        <v>-0.15</v>
      </c>
      <c r="F511">
        <f t="shared" si="112"/>
        <v>0.15</v>
      </c>
      <c r="G511">
        <f t="shared" si="102"/>
        <v>0.12</v>
      </c>
      <c r="H511">
        <f t="shared" si="103"/>
        <v>0.09</v>
      </c>
      <c r="I511">
        <f t="shared" si="104"/>
        <v>0.06</v>
      </c>
      <c r="J511">
        <f t="shared" si="105"/>
        <v>0.03</v>
      </c>
      <c r="K511">
        <f t="shared" si="106"/>
        <v>0</v>
      </c>
      <c r="L511">
        <f t="shared" si="107"/>
        <v>-0.03</v>
      </c>
      <c r="M511">
        <f t="shared" si="108"/>
        <v>-0.06</v>
      </c>
      <c r="N511">
        <f t="shared" si="109"/>
        <v>-0.09</v>
      </c>
      <c r="O511">
        <f t="shared" si="110"/>
        <v>-0.12</v>
      </c>
      <c r="P511">
        <f t="shared" si="111"/>
        <v>-0.15</v>
      </c>
    </row>
    <row r="512" spans="1:16" x14ac:dyDescent="0.3">
      <c r="A512" s="6">
        <v>46502</v>
      </c>
      <c r="B512" s="8">
        <f t="shared" si="99"/>
        <v>115</v>
      </c>
      <c r="C512" s="8">
        <f t="shared" si="100"/>
        <v>121</v>
      </c>
      <c r="D512" s="7">
        <f t="shared" si="101"/>
        <v>-0.15</v>
      </c>
      <c r="F512">
        <f t="shared" si="112"/>
        <v>0.15</v>
      </c>
      <c r="G512">
        <f t="shared" si="102"/>
        <v>0.12</v>
      </c>
      <c r="H512">
        <f t="shared" si="103"/>
        <v>0.09</v>
      </c>
      <c r="I512">
        <f t="shared" si="104"/>
        <v>0.06</v>
      </c>
      <c r="J512">
        <f t="shared" si="105"/>
        <v>0.03</v>
      </c>
      <c r="K512">
        <f t="shared" si="106"/>
        <v>0</v>
      </c>
      <c r="L512">
        <f t="shared" si="107"/>
        <v>-0.03</v>
      </c>
      <c r="M512">
        <f t="shared" si="108"/>
        <v>-0.06</v>
      </c>
      <c r="N512">
        <f t="shared" si="109"/>
        <v>-0.09</v>
      </c>
      <c r="O512">
        <f t="shared" si="110"/>
        <v>-0.12</v>
      </c>
      <c r="P512">
        <f t="shared" si="111"/>
        <v>-0.15</v>
      </c>
    </row>
    <row r="513" spans="1:16" x14ac:dyDescent="0.3">
      <c r="A513" s="6">
        <v>46503</v>
      </c>
      <c r="B513" s="8">
        <f t="shared" si="99"/>
        <v>116</v>
      </c>
      <c r="C513" s="8">
        <f t="shared" si="100"/>
        <v>122</v>
      </c>
      <c r="D513" s="7">
        <f t="shared" si="101"/>
        <v>-0.15</v>
      </c>
      <c r="F513">
        <f t="shared" si="112"/>
        <v>0.15</v>
      </c>
      <c r="G513">
        <f t="shared" si="102"/>
        <v>0.12</v>
      </c>
      <c r="H513">
        <f t="shared" si="103"/>
        <v>0.09</v>
      </c>
      <c r="I513">
        <f t="shared" si="104"/>
        <v>0.06</v>
      </c>
      <c r="J513">
        <f t="shared" si="105"/>
        <v>0.03</v>
      </c>
      <c r="K513">
        <f t="shared" si="106"/>
        <v>0</v>
      </c>
      <c r="L513">
        <f t="shared" si="107"/>
        <v>-0.03</v>
      </c>
      <c r="M513">
        <f t="shared" si="108"/>
        <v>-0.06</v>
      </c>
      <c r="N513">
        <f t="shared" si="109"/>
        <v>-0.09</v>
      </c>
      <c r="O513">
        <f t="shared" si="110"/>
        <v>-0.12</v>
      </c>
      <c r="P513">
        <f t="shared" si="111"/>
        <v>-0.15</v>
      </c>
    </row>
    <row r="514" spans="1:16" x14ac:dyDescent="0.3">
      <c r="A514" s="6">
        <v>46504</v>
      </c>
      <c r="B514" s="8">
        <f t="shared" si="99"/>
        <v>117</v>
      </c>
      <c r="C514" s="8">
        <f t="shared" si="100"/>
        <v>123</v>
      </c>
      <c r="D514" s="7">
        <f t="shared" si="101"/>
        <v>-0.15</v>
      </c>
      <c r="F514">
        <f t="shared" si="112"/>
        <v>0.15</v>
      </c>
      <c r="G514">
        <f t="shared" si="102"/>
        <v>0.12</v>
      </c>
      <c r="H514">
        <f t="shared" si="103"/>
        <v>0.09</v>
      </c>
      <c r="I514">
        <f t="shared" si="104"/>
        <v>0.06</v>
      </c>
      <c r="J514">
        <f t="shared" si="105"/>
        <v>0.03</v>
      </c>
      <c r="K514">
        <f t="shared" si="106"/>
        <v>0</v>
      </c>
      <c r="L514">
        <f t="shared" si="107"/>
        <v>-0.03</v>
      </c>
      <c r="M514">
        <f t="shared" si="108"/>
        <v>-0.06</v>
      </c>
      <c r="N514">
        <f t="shared" si="109"/>
        <v>-0.09</v>
      </c>
      <c r="O514">
        <f t="shared" si="110"/>
        <v>-0.12</v>
      </c>
      <c r="P514">
        <f t="shared" si="111"/>
        <v>-0.15</v>
      </c>
    </row>
    <row r="515" spans="1:16" x14ac:dyDescent="0.3">
      <c r="A515" s="6">
        <v>46505</v>
      </c>
      <c r="B515" s="8">
        <f t="shared" ref="B515:B550" si="113" xml:space="preserve"> A515 - DATE(YEAR(A515), 1, 1) + 1</f>
        <v>118</v>
      </c>
      <c r="C515" s="8">
        <f t="shared" ref="C515:C550" si="114">MIN(ABS(359-B515), 365-ABS(359-B515))</f>
        <v>124</v>
      </c>
      <c r="D515" s="7">
        <f t="shared" ref="D515:D550" si="115">MAX(0, $T$4 - (C515/$U$4)) ^ $T$7 - $U$7</f>
        <v>-0.15</v>
      </c>
      <c r="F515">
        <f t="shared" si="112"/>
        <v>0.15</v>
      </c>
      <c r="G515">
        <f t="shared" ref="G515:G550" si="116">(-8/10) * $D515</f>
        <v>0.12</v>
      </c>
      <c r="H515">
        <f t="shared" ref="H515:H550" si="117">(-6/10) * $D515</f>
        <v>0.09</v>
      </c>
      <c r="I515">
        <f t="shared" ref="I515:I550" si="118">(-4/10) * $D515</f>
        <v>0.06</v>
      </c>
      <c r="J515">
        <f t="shared" ref="J515:J550" si="119">(-2/10) * $D515</f>
        <v>0.03</v>
      </c>
      <c r="K515">
        <f t="shared" ref="K515:K550" si="120">(0/10) * $D515</f>
        <v>0</v>
      </c>
      <c r="L515">
        <f t="shared" ref="L515:L550" si="121">(2/10) * $D515</f>
        <v>-0.03</v>
      </c>
      <c r="M515">
        <f t="shared" ref="M515:M550" si="122">(4/10) * $D515</f>
        <v>-0.06</v>
      </c>
      <c r="N515">
        <f t="shared" ref="N515:N550" si="123">(6/10) * $D515</f>
        <v>-0.09</v>
      </c>
      <c r="O515">
        <f t="shared" ref="O515:O550" si="124">(8/10) * $D515</f>
        <v>-0.12</v>
      </c>
      <c r="P515">
        <f t="shared" ref="P515:P550" si="125">(10/10) * $D515</f>
        <v>-0.15</v>
      </c>
    </row>
    <row r="516" spans="1:16" x14ac:dyDescent="0.3">
      <c r="A516" s="6">
        <v>46506</v>
      </c>
      <c r="B516" s="8">
        <f t="shared" si="113"/>
        <v>119</v>
      </c>
      <c r="C516" s="8">
        <f t="shared" si="114"/>
        <v>125</v>
      </c>
      <c r="D516" s="7">
        <f t="shared" si="115"/>
        <v>-0.15</v>
      </c>
      <c r="F516">
        <f t="shared" si="112"/>
        <v>0.15</v>
      </c>
      <c r="G516">
        <f t="shared" si="116"/>
        <v>0.12</v>
      </c>
      <c r="H516">
        <f t="shared" si="117"/>
        <v>0.09</v>
      </c>
      <c r="I516">
        <f t="shared" si="118"/>
        <v>0.06</v>
      </c>
      <c r="J516">
        <f t="shared" si="119"/>
        <v>0.03</v>
      </c>
      <c r="K516">
        <f t="shared" si="120"/>
        <v>0</v>
      </c>
      <c r="L516">
        <f t="shared" si="121"/>
        <v>-0.03</v>
      </c>
      <c r="M516">
        <f t="shared" si="122"/>
        <v>-0.06</v>
      </c>
      <c r="N516">
        <f t="shared" si="123"/>
        <v>-0.09</v>
      </c>
      <c r="O516">
        <f t="shared" si="124"/>
        <v>-0.12</v>
      </c>
      <c r="P516">
        <f t="shared" si="125"/>
        <v>-0.15</v>
      </c>
    </row>
    <row r="517" spans="1:16" x14ac:dyDescent="0.3">
      <c r="A517" s="6">
        <v>46507</v>
      </c>
      <c r="B517" s="8">
        <f t="shared" si="113"/>
        <v>120</v>
      </c>
      <c r="C517" s="8">
        <f t="shared" si="114"/>
        <v>126</v>
      </c>
      <c r="D517" s="7">
        <f t="shared" si="115"/>
        <v>-0.15</v>
      </c>
      <c r="F517">
        <f t="shared" si="112"/>
        <v>0.15</v>
      </c>
      <c r="G517">
        <f t="shared" si="116"/>
        <v>0.12</v>
      </c>
      <c r="H517">
        <f t="shared" si="117"/>
        <v>0.09</v>
      </c>
      <c r="I517">
        <f t="shared" si="118"/>
        <v>0.06</v>
      </c>
      <c r="J517">
        <f t="shared" si="119"/>
        <v>0.03</v>
      </c>
      <c r="K517">
        <f t="shared" si="120"/>
        <v>0</v>
      </c>
      <c r="L517">
        <f t="shared" si="121"/>
        <v>-0.03</v>
      </c>
      <c r="M517">
        <f t="shared" si="122"/>
        <v>-0.06</v>
      </c>
      <c r="N517">
        <f t="shared" si="123"/>
        <v>-0.09</v>
      </c>
      <c r="O517">
        <f t="shared" si="124"/>
        <v>-0.12</v>
      </c>
      <c r="P517">
        <f t="shared" si="125"/>
        <v>-0.15</v>
      </c>
    </row>
    <row r="518" spans="1:16" x14ac:dyDescent="0.3">
      <c r="A518" s="6">
        <v>46508</v>
      </c>
      <c r="B518" s="8">
        <f t="shared" si="113"/>
        <v>121</v>
      </c>
      <c r="C518" s="8">
        <f t="shared" si="114"/>
        <v>127</v>
      </c>
      <c r="D518" s="7">
        <f t="shared" si="115"/>
        <v>-0.15</v>
      </c>
      <c r="F518">
        <f t="shared" si="112"/>
        <v>0.15</v>
      </c>
      <c r="G518">
        <f t="shared" si="116"/>
        <v>0.12</v>
      </c>
      <c r="H518">
        <f t="shared" si="117"/>
        <v>0.09</v>
      </c>
      <c r="I518">
        <f t="shared" si="118"/>
        <v>0.06</v>
      </c>
      <c r="J518">
        <f t="shared" si="119"/>
        <v>0.03</v>
      </c>
      <c r="K518">
        <f t="shared" si="120"/>
        <v>0</v>
      </c>
      <c r="L518">
        <f t="shared" si="121"/>
        <v>-0.03</v>
      </c>
      <c r="M518">
        <f t="shared" si="122"/>
        <v>-0.06</v>
      </c>
      <c r="N518">
        <f t="shared" si="123"/>
        <v>-0.09</v>
      </c>
      <c r="O518">
        <f t="shared" si="124"/>
        <v>-0.12</v>
      </c>
      <c r="P518">
        <f t="shared" si="125"/>
        <v>-0.15</v>
      </c>
    </row>
    <row r="519" spans="1:16" x14ac:dyDescent="0.3">
      <c r="A519" s="6">
        <v>46509</v>
      </c>
      <c r="B519" s="8">
        <f t="shared" si="113"/>
        <v>122</v>
      </c>
      <c r="C519" s="8">
        <f t="shared" si="114"/>
        <v>128</v>
      </c>
      <c r="D519" s="7">
        <f t="shared" si="115"/>
        <v>-0.15</v>
      </c>
      <c r="F519">
        <f t="shared" si="112"/>
        <v>0.15</v>
      </c>
      <c r="G519">
        <f t="shared" si="116"/>
        <v>0.12</v>
      </c>
      <c r="H519">
        <f t="shared" si="117"/>
        <v>0.09</v>
      </c>
      <c r="I519">
        <f t="shared" si="118"/>
        <v>0.06</v>
      </c>
      <c r="J519">
        <f t="shared" si="119"/>
        <v>0.03</v>
      </c>
      <c r="K519">
        <f t="shared" si="120"/>
        <v>0</v>
      </c>
      <c r="L519">
        <f t="shared" si="121"/>
        <v>-0.03</v>
      </c>
      <c r="M519">
        <f t="shared" si="122"/>
        <v>-0.06</v>
      </c>
      <c r="N519">
        <f t="shared" si="123"/>
        <v>-0.09</v>
      </c>
      <c r="O519">
        <f t="shared" si="124"/>
        <v>-0.12</v>
      </c>
      <c r="P519">
        <f t="shared" si="125"/>
        <v>-0.15</v>
      </c>
    </row>
    <row r="520" spans="1:16" x14ac:dyDescent="0.3">
      <c r="A520" s="6">
        <v>46510</v>
      </c>
      <c r="B520" s="8">
        <f t="shared" si="113"/>
        <v>123</v>
      </c>
      <c r="C520" s="8">
        <f t="shared" si="114"/>
        <v>129</v>
      </c>
      <c r="D520" s="7">
        <f t="shared" si="115"/>
        <v>-0.15</v>
      </c>
      <c r="F520">
        <f t="shared" si="112"/>
        <v>0.15</v>
      </c>
      <c r="G520">
        <f t="shared" si="116"/>
        <v>0.12</v>
      </c>
      <c r="H520">
        <f t="shared" si="117"/>
        <v>0.09</v>
      </c>
      <c r="I520">
        <f t="shared" si="118"/>
        <v>0.06</v>
      </c>
      <c r="J520">
        <f t="shared" si="119"/>
        <v>0.03</v>
      </c>
      <c r="K520">
        <f t="shared" si="120"/>
        <v>0</v>
      </c>
      <c r="L520">
        <f t="shared" si="121"/>
        <v>-0.03</v>
      </c>
      <c r="M520">
        <f t="shared" si="122"/>
        <v>-0.06</v>
      </c>
      <c r="N520">
        <f t="shared" si="123"/>
        <v>-0.09</v>
      </c>
      <c r="O520">
        <f t="shared" si="124"/>
        <v>-0.12</v>
      </c>
      <c r="P520">
        <f t="shared" si="125"/>
        <v>-0.15</v>
      </c>
    </row>
    <row r="521" spans="1:16" x14ac:dyDescent="0.3">
      <c r="A521" s="6">
        <v>46511</v>
      </c>
      <c r="B521" s="8">
        <f t="shared" si="113"/>
        <v>124</v>
      </c>
      <c r="C521" s="8">
        <f t="shared" si="114"/>
        <v>130</v>
      </c>
      <c r="D521" s="7">
        <f t="shared" si="115"/>
        <v>-0.15</v>
      </c>
      <c r="F521">
        <f t="shared" si="112"/>
        <v>0.15</v>
      </c>
      <c r="G521">
        <f t="shared" si="116"/>
        <v>0.12</v>
      </c>
      <c r="H521">
        <f t="shared" si="117"/>
        <v>0.09</v>
      </c>
      <c r="I521">
        <f t="shared" si="118"/>
        <v>0.06</v>
      </c>
      <c r="J521">
        <f t="shared" si="119"/>
        <v>0.03</v>
      </c>
      <c r="K521">
        <f t="shared" si="120"/>
        <v>0</v>
      </c>
      <c r="L521">
        <f t="shared" si="121"/>
        <v>-0.03</v>
      </c>
      <c r="M521">
        <f t="shared" si="122"/>
        <v>-0.06</v>
      </c>
      <c r="N521">
        <f t="shared" si="123"/>
        <v>-0.09</v>
      </c>
      <c r="O521">
        <f t="shared" si="124"/>
        <v>-0.12</v>
      </c>
      <c r="P521">
        <f t="shared" si="125"/>
        <v>-0.15</v>
      </c>
    </row>
    <row r="522" spans="1:16" x14ac:dyDescent="0.3">
      <c r="A522" s="6">
        <v>46512</v>
      </c>
      <c r="B522" s="8">
        <f t="shared" si="113"/>
        <v>125</v>
      </c>
      <c r="C522" s="8">
        <f t="shared" si="114"/>
        <v>131</v>
      </c>
      <c r="D522" s="7">
        <f t="shared" si="115"/>
        <v>-0.15</v>
      </c>
      <c r="F522">
        <f t="shared" si="112"/>
        <v>0.15</v>
      </c>
      <c r="G522">
        <f t="shared" si="116"/>
        <v>0.12</v>
      </c>
      <c r="H522">
        <f t="shared" si="117"/>
        <v>0.09</v>
      </c>
      <c r="I522">
        <f t="shared" si="118"/>
        <v>0.06</v>
      </c>
      <c r="J522">
        <f t="shared" si="119"/>
        <v>0.03</v>
      </c>
      <c r="K522">
        <f t="shared" si="120"/>
        <v>0</v>
      </c>
      <c r="L522">
        <f t="shared" si="121"/>
        <v>-0.03</v>
      </c>
      <c r="M522">
        <f t="shared" si="122"/>
        <v>-0.06</v>
      </c>
      <c r="N522">
        <f t="shared" si="123"/>
        <v>-0.09</v>
      </c>
      <c r="O522">
        <f t="shared" si="124"/>
        <v>-0.12</v>
      </c>
      <c r="P522">
        <f t="shared" si="125"/>
        <v>-0.15</v>
      </c>
    </row>
    <row r="523" spans="1:16" x14ac:dyDescent="0.3">
      <c r="A523" s="6">
        <v>46513</v>
      </c>
      <c r="B523" s="8">
        <f t="shared" si="113"/>
        <v>126</v>
      </c>
      <c r="C523" s="8">
        <f t="shared" si="114"/>
        <v>132</v>
      </c>
      <c r="D523" s="7">
        <f t="shared" si="115"/>
        <v>-0.15</v>
      </c>
      <c r="F523">
        <f t="shared" si="112"/>
        <v>0.15</v>
      </c>
      <c r="G523">
        <f t="shared" si="116"/>
        <v>0.12</v>
      </c>
      <c r="H523">
        <f t="shared" si="117"/>
        <v>0.09</v>
      </c>
      <c r="I523">
        <f t="shared" si="118"/>
        <v>0.06</v>
      </c>
      <c r="J523">
        <f t="shared" si="119"/>
        <v>0.03</v>
      </c>
      <c r="K523">
        <f t="shared" si="120"/>
        <v>0</v>
      </c>
      <c r="L523">
        <f t="shared" si="121"/>
        <v>-0.03</v>
      </c>
      <c r="M523">
        <f t="shared" si="122"/>
        <v>-0.06</v>
      </c>
      <c r="N523">
        <f t="shared" si="123"/>
        <v>-0.09</v>
      </c>
      <c r="O523">
        <f t="shared" si="124"/>
        <v>-0.12</v>
      </c>
      <c r="P523">
        <f t="shared" si="125"/>
        <v>-0.15</v>
      </c>
    </row>
    <row r="524" spans="1:16" x14ac:dyDescent="0.3">
      <c r="A524" s="6">
        <v>46514</v>
      </c>
      <c r="B524" s="8">
        <f t="shared" si="113"/>
        <v>127</v>
      </c>
      <c r="C524" s="8">
        <f t="shared" si="114"/>
        <v>133</v>
      </c>
      <c r="D524" s="7">
        <f t="shared" si="115"/>
        <v>-0.15</v>
      </c>
      <c r="F524">
        <f t="shared" si="112"/>
        <v>0.15</v>
      </c>
      <c r="G524">
        <f t="shared" si="116"/>
        <v>0.12</v>
      </c>
      <c r="H524">
        <f t="shared" si="117"/>
        <v>0.09</v>
      </c>
      <c r="I524">
        <f t="shared" si="118"/>
        <v>0.06</v>
      </c>
      <c r="J524">
        <f t="shared" si="119"/>
        <v>0.03</v>
      </c>
      <c r="K524">
        <f t="shared" si="120"/>
        <v>0</v>
      </c>
      <c r="L524">
        <f t="shared" si="121"/>
        <v>-0.03</v>
      </c>
      <c r="M524">
        <f t="shared" si="122"/>
        <v>-0.06</v>
      </c>
      <c r="N524">
        <f t="shared" si="123"/>
        <v>-0.09</v>
      </c>
      <c r="O524">
        <f t="shared" si="124"/>
        <v>-0.12</v>
      </c>
      <c r="P524">
        <f t="shared" si="125"/>
        <v>-0.15</v>
      </c>
    </row>
    <row r="525" spans="1:16" x14ac:dyDescent="0.3">
      <c r="A525" s="6">
        <v>46515</v>
      </c>
      <c r="B525" s="8">
        <f t="shared" si="113"/>
        <v>128</v>
      </c>
      <c r="C525" s="8">
        <f t="shared" si="114"/>
        <v>134</v>
      </c>
      <c r="D525" s="7">
        <f t="shared" si="115"/>
        <v>-0.15</v>
      </c>
      <c r="F525">
        <f t="shared" si="112"/>
        <v>0.15</v>
      </c>
      <c r="G525">
        <f t="shared" si="116"/>
        <v>0.12</v>
      </c>
      <c r="H525">
        <f t="shared" si="117"/>
        <v>0.09</v>
      </c>
      <c r="I525">
        <f t="shared" si="118"/>
        <v>0.06</v>
      </c>
      <c r="J525">
        <f t="shared" si="119"/>
        <v>0.03</v>
      </c>
      <c r="K525">
        <f t="shared" si="120"/>
        <v>0</v>
      </c>
      <c r="L525">
        <f t="shared" si="121"/>
        <v>-0.03</v>
      </c>
      <c r="M525">
        <f t="shared" si="122"/>
        <v>-0.06</v>
      </c>
      <c r="N525">
        <f t="shared" si="123"/>
        <v>-0.09</v>
      </c>
      <c r="O525">
        <f t="shared" si="124"/>
        <v>-0.12</v>
      </c>
      <c r="P525">
        <f t="shared" si="125"/>
        <v>-0.15</v>
      </c>
    </row>
    <row r="526" spans="1:16" x14ac:dyDescent="0.3">
      <c r="A526" s="6">
        <v>46516</v>
      </c>
      <c r="B526" s="8">
        <f t="shared" si="113"/>
        <v>129</v>
      </c>
      <c r="C526" s="8">
        <f t="shared" si="114"/>
        <v>135</v>
      </c>
      <c r="D526" s="7">
        <f t="shared" si="115"/>
        <v>-0.15</v>
      </c>
      <c r="F526">
        <f t="shared" si="112"/>
        <v>0.15</v>
      </c>
      <c r="G526">
        <f t="shared" si="116"/>
        <v>0.12</v>
      </c>
      <c r="H526">
        <f t="shared" si="117"/>
        <v>0.09</v>
      </c>
      <c r="I526">
        <f t="shared" si="118"/>
        <v>0.06</v>
      </c>
      <c r="J526">
        <f t="shared" si="119"/>
        <v>0.03</v>
      </c>
      <c r="K526">
        <f t="shared" si="120"/>
        <v>0</v>
      </c>
      <c r="L526">
        <f t="shared" si="121"/>
        <v>-0.03</v>
      </c>
      <c r="M526">
        <f t="shared" si="122"/>
        <v>-0.06</v>
      </c>
      <c r="N526">
        <f t="shared" si="123"/>
        <v>-0.09</v>
      </c>
      <c r="O526">
        <f t="shared" si="124"/>
        <v>-0.12</v>
      </c>
      <c r="P526">
        <f t="shared" si="125"/>
        <v>-0.15</v>
      </c>
    </row>
    <row r="527" spans="1:16" x14ac:dyDescent="0.3">
      <c r="A527" s="6">
        <v>46517</v>
      </c>
      <c r="B527" s="8">
        <f t="shared" si="113"/>
        <v>130</v>
      </c>
      <c r="C527" s="8">
        <f t="shared" si="114"/>
        <v>136</v>
      </c>
      <c r="D527" s="7">
        <f t="shared" si="115"/>
        <v>-0.15</v>
      </c>
      <c r="F527">
        <f t="shared" si="112"/>
        <v>0.15</v>
      </c>
      <c r="G527">
        <f t="shared" si="116"/>
        <v>0.12</v>
      </c>
      <c r="H527">
        <f t="shared" si="117"/>
        <v>0.09</v>
      </c>
      <c r="I527">
        <f t="shared" si="118"/>
        <v>0.06</v>
      </c>
      <c r="J527">
        <f t="shared" si="119"/>
        <v>0.03</v>
      </c>
      <c r="K527">
        <f t="shared" si="120"/>
        <v>0</v>
      </c>
      <c r="L527">
        <f t="shared" si="121"/>
        <v>-0.03</v>
      </c>
      <c r="M527">
        <f t="shared" si="122"/>
        <v>-0.06</v>
      </c>
      <c r="N527">
        <f t="shared" si="123"/>
        <v>-0.09</v>
      </c>
      <c r="O527">
        <f t="shared" si="124"/>
        <v>-0.12</v>
      </c>
      <c r="P527">
        <f t="shared" si="125"/>
        <v>-0.15</v>
      </c>
    </row>
    <row r="528" spans="1:16" x14ac:dyDescent="0.3">
      <c r="A528" s="6">
        <v>46518</v>
      </c>
      <c r="B528" s="8">
        <f t="shared" si="113"/>
        <v>131</v>
      </c>
      <c r="C528" s="8">
        <f t="shared" si="114"/>
        <v>137</v>
      </c>
      <c r="D528" s="7">
        <f t="shared" si="115"/>
        <v>-0.15</v>
      </c>
      <c r="F528">
        <f t="shared" si="112"/>
        <v>0.15</v>
      </c>
      <c r="G528">
        <f t="shared" si="116"/>
        <v>0.12</v>
      </c>
      <c r="H528">
        <f t="shared" si="117"/>
        <v>0.09</v>
      </c>
      <c r="I528">
        <f t="shared" si="118"/>
        <v>0.06</v>
      </c>
      <c r="J528">
        <f t="shared" si="119"/>
        <v>0.03</v>
      </c>
      <c r="K528">
        <f t="shared" si="120"/>
        <v>0</v>
      </c>
      <c r="L528">
        <f t="shared" si="121"/>
        <v>-0.03</v>
      </c>
      <c r="M528">
        <f t="shared" si="122"/>
        <v>-0.06</v>
      </c>
      <c r="N528">
        <f t="shared" si="123"/>
        <v>-0.09</v>
      </c>
      <c r="O528">
        <f t="shared" si="124"/>
        <v>-0.12</v>
      </c>
      <c r="P528">
        <f t="shared" si="125"/>
        <v>-0.15</v>
      </c>
    </row>
    <row r="529" spans="1:16" x14ac:dyDescent="0.3">
      <c r="A529" s="6">
        <v>46519</v>
      </c>
      <c r="B529" s="8">
        <f t="shared" si="113"/>
        <v>132</v>
      </c>
      <c r="C529" s="8">
        <f t="shared" si="114"/>
        <v>138</v>
      </c>
      <c r="D529" s="7">
        <f t="shared" si="115"/>
        <v>-0.15</v>
      </c>
      <c r="F529">
        <f t="shared" si="112"/>
        <v>0.15</v>
      </c>
      <c r="G529">
        <f t="shared" si="116"/>
        <v>0.12</v>
      </c>
      <c r="H529">
        <f t="shared" si="117"/>
        <v>0.09</v>
      </c>
      <c r="I529">
        <f t="shared" si="118"/>
        <v>0.06</v>
      </c>
      <c r="J529">
        <f t="shared" si="119"/>
        <v>0.03</v>
      </c>
      <c r="K529">
        <f t="shared" si="120"/>
        <v>0</v>
      </c>
      <c r="L529">
        <f t="shared" si="121"/>
        <v>-0.03</v>
      </c>
      <c r="M529">
        <f t="shared" si="122"/>
        <v>-0.06</v>
      </c>
      <c r="N529">
        <f t="shared" si="123"/>
        <v>-0.09</v>
      </c>
      <c r="O529">
        <f t="shared" si="124"/>
        <v>-0.12</v>
      </c>
      <c r="P529">
        <f t="shared" si="125"/>
        <v>-0.15</v>
      </c>
    </row>
    <row r="530" spans="1:16" x14ac:dyDescent="0.3">
      <c r="A530" s="6">
        <v>46520</v>
      </c>
      <c r="B530" s="8">
        <f t="shared" si="113"/>
        <v>133</v>
      </c>
      <c r="C530" s="8">
        <f t="shared" si="114"/>
        <v>139</v>
      </c>
      <c r="D530" s="7">
        <f t="shared" si="115"/>
        <v>-0.15</v>
      </c>
      <c r="F530">
        <f t="shared" si="112"/>
        <v>0.15</v>
      </c>
      <c r="G530">
        <f t="shared" si="116"/>
        <v>0.12</v>
      </c>
      <c r="H530">
        <f t="shared" si="117"/>
        <v>0.09</v>
      </c>
      <c r="I530">
        <f t="shared" si="118"/>
        <v>0.06</v>
      </c>
      <c r="J530">
        <f t="shared" si="119"/>
        <v>0.03</v>
      </c>
      <c r="K530">
        <f t="shared" si="120"/>
        <v>0</v>
      </c>
      <c r="L530">
        <f t="shared" si="121"/>
        <v>-0.03</v>
      </c>
      <c r="M530">
        <f t="shared" si="122"/>
        <v>-0.06</v>
      </c>
      <c r="N530">
        <f t="shared" si="123"/>
        <v>-0.09</v>
      </c>
      <c r="O530">
        <f t="shared" si="124"/>
        <v>-0.12</v>
      </c>
      <c r="P530">
        <f t="shared" si="125"/>
        <v>-0.15</v>
      </c>
    </row>
    <row r="531" spans="1:16" x14ac:dyDescent="0.3">
      <c r="A531" s="6">
        <v>46521</v>
      </c>
      <c r="B531" s="8">
        <f t="shared" si="113"/>
        <v>134</v>
      </c>
      <c r="C531" s="8">
        <f t="shared" si="114"/>
        <v>140</v>
      </c>
      <c r="D531" s="7">
        <f t="shared" si="115"/>
        <v>-0.15</v>
      </c>
      <c r="F531">
        <f t="shared" si="112"/>
        <v>0.15</v>
      </c>
      <c r="G531">
        <f t="shared" si="116"/>
        <v>0.12</v>
      </c>
      <c r="H531">
        <f t="shared" si="117"/>
        <v>0.09</v>
      </c>
      <c r="I531">
        <f t="shared" si="118"/>
        <v>0.06</v>
      </c>
      <c r="J531">
        <f t="shared" si="119"/>
        <v>0.03</v>
      </c>
      <c r="K531">
        <f t="shared" si="120"/>
        <v>0</v>
      </c>
      <c r="L531">
        <f t="shared" si="121"/>
        <v>-0.03</v>
      </c>
      <c r="M531">
        <f t="shared" si="122"/>
        <v>-0.06</v>
      </c>
      <c r="N531">
        <f t="shared" si="123"/>
        <v>-0.09</v>
      </c>
      <c r="O531">
        <f t="shared" si="124"/>
        <v>-0.12</v>
      </c>
      <c r="P531">
        <f t="shared" si="125"/>
        <v>-0.15</v>
      </c>
    </row>
    <row r="532" spans="1:16" x14ac:dyDescent="0.3">
      <c r="A532" s="6">
        <v>46522</v>
      </c>
      <c r="B532" s="8">
        <f t="shared" si="113"/>
        <v>135</v>
      </c>
      <c r="C532" s="8">
        <f t="shared" si="114"/>
        <v>141</v>
      </c>
      <c r="D532" s="7">
        <f t="shared" si="115"/>
        <v>-0.15</v>
      </c>
      <c r="F532">
        <f t="shared" si="112"/>
        <v>0.15</v>
      </c>
      <c r="G532">
        <f t="shared" si="116"/>
        <v>0.12</v>
      </c>
      <c r="H532">
        <f t="shared" si="117"/>
        <v>0.09</v>
      </c>
      <c r="I532">
        <f t="shared" si="118"/>
        <v>0.06</v>
      </c>
      <c r="J532">
        <f t="shared" si="119"/>
        <v>0.03</v>
      </c>
      <c r="K532">
        <f t="shared" si="120"/>
        <v>0</v>
      </c>
      <c r="L532">
        <f t="shared" si="121"/>
        <v>-0.03</v>
      </c>
      <c r="M532">
        <f t="shared" si="122"/>
        <v>-0.06</v>
      </c>
      <c r="N532">
        <f t="shared" si="123"/>
        <v>-0.09</v>
      </c>
      <c r="O532">
        <f t="shared" si="124"/>
        <v>-0.12</v>
      </c>
      <c r="P532">
        <f t="shared" si="125"/>
        <v>-0.15</v>
      </c>
    </row>
    <row r="533" spans="1:16" x14ac:dyDescent="0.3">
      <c r="A533" s="6">
        <v>46523</v>
      </c>
      <c r="B533" s="8">
        <f t="shared" si="113"/>
        <v>136</v>
      </c>
      <c r="C533" s="8">
        <f t="shared" si="114"/>
        <v>142</v>
      </c>
      <c r="D533" s="7">
        <f t="shared" si="115"/>
        <v>-0.15</v>
      </c>
      <c r="F533">
        <f t="shared" si="112"/>
        <v>0.15</v>
      </c>
      <c r="G533">
        <f t="shared" si="116"/>
        <v>0.12</v>
      </c>
      <c r="H533">
        <f t="shared" si="117"/>
        <v>0.09</v>
      </c>
      <c r="I533">
        <f t="shared" si="118"/>
        <v>0.06</v>
      </c>
      <c r="J533">
        <f t="shared" si="119"/>
        <v>0.03</v>
      </c>
      <c r="K533">
        <f t="shared" si="120"/>
        <v>0</v>
      </c>
      <c r="L533">
        <f t="shared" si="121"/>
        <v>-0.03</v>
      </c>
      <c r="M533">
        <f t="shared" si="122"/>
        <v>-0.06</v>
      </c>
      <c r="N533">
        <f t="shared" si="123"/>
        <v>-0.09</v>
      </c>
      <c r="O533">
        <f t="shared" si="124"/>
        <v>-0.12</v>
      </c>
      <c r="P533">
        <f t="shared" si="125"/>
        <v>-0.15</v>
      </c>
    </row>
    <row r="534" spans="1:16" x14ac:dyDescent="0.3">
      <c r="A534" s="6">
        <v>46524</v>
      </c>
      <c r="B534" s="8">
        <f t="shared" si="113"/>
        <v>137</v>
      </c>
      <c r="C534" s="8">
        <f t="shared" si="114"/>
        <v>143</v>
      </c>
      <c r="D534" s="7">
        <f t="shared" si="115"/>
        <v>-0.15</v>
      </c>
      <c r="F534">
        <f t="shared" si="112"/>
        <v>0.15</v>
      </c>
      <c r="G534">
        <f t="shared" si="116"/>
        <v>0.12</v>
      </c>
      <c r="H534">
        <f t="shared" si="117"/>
        <v>0.09</v>
      </c>
      <c r="I534">
        <f t="shared" si="118"/>
        <v>0.06</v>
      </c>
      <c r="J534">
        <f t="shared" si="119"/>
        <v>0.03</v>
      </c>
      <c r="K534">
        <f t="shared" si="120"/>
        <v>0</v>
      </c>
      <c r="L534">
        <f t="shared" si="121"/>
        <v>-0.03</v>
      </c>
      <c r="M534">
        <f t="shared" si="122"/>
        <v>-0.06</v>
      </c>
      <c r="N534">
        <f t="shared" si="123"/>
        <v>-0.09</v>
      </c>
      <c r="O534">
        <f t="shared" si="124"/>
        <v>-0.12</v>
      </c>
      <c r="P534">
        <f t="shared" si="125"/>
        <v>-0.15</v>
      </c>
    </row>
    <row r="535" spans="1:16" x14ac:dyDescent="0.3">
      <c r="A535" s="6">
        <v>46525</v>
      </c>
      <c r="B535" s="8">
        <f t="shared" si="113"/>
        <v>138</v>
      </c>
      <c r="C535" s="8">
        <f t="shared" si="114"/>
        <v>144</v>
      </c>
      <c r="D535" s="7">
        <f t="shared" si="115"/>
        <v>-0.15</v>
      </c>
      <c r="F535">
        <f t="shared" si="112"/>
        <v>0.15</v>
      </c>
      <c r="G535">
        <f t="shared" si="116"/>
        <v>0.12</v>
      </c>
      <c r="H535">
        <f t="shared" si="117"/>
        <v>0.09</v>
      </c>
      <c r="I535">
        <f t="shared" si="118"/>
        <v>0.06</v>
      </c>
      <c r="J535">
        <f t="shared" si="119"/>
        <v>0.03</v>
      </c>
      <c r="K535">
        <f t="shared" si="120"/>
        <v>0</v>
      </c>
      <c r="L535">
        <f t="shared" si="121"/>
        <v>-0.03</v>
      </c>
      <c r="M535">
        <f t="shared" si="122"/>
        <v>-0.06</v>
      </c>
      <c r="N535">
        <f t="shared" si="123"/>
        <v>-0.09</v>
      </c>
      <c r="O535">
        <f t="shared" si="124"/>
        <v>-0.12</v>
      </c>
      <c r="P535">
        <f t="shared" si="125"/>
        <v>-0.15</v>
      </c>
    </row>
    <row r="536" spans="1:16" x14ac:dyDescent="0.3">
      <c r="A536" s="6">
        <v>46526</v>
      </c>
      <c r="B536" s="8">
        <f t="shared" si="113"/>
        <v>139</v>
      </c>
      <c r="C536" s="8">
        <f t="shared" si="114"/>
        <v>145</v>
      </c>
      <c r="D536" s="7">
        <f t="shared" si="115"/>
        <v>-0.15</v>
      </c>
      <c r="F536">
        <f t="shared" si="112"/>
        <v>0.15</v>
      </c>
      <c r="G536">
        <f t="shared" si="116"/>
        <v>0.12</v>
      </c>
      <c r="H536">
        <f t="shared" si="117"/>
        <v>0.09</v>
      </c>
      <c r="I536">
        <f t="shared" si="118"/>
        <v>0.06</v>
      </c>
      <c r="J536">
        <f t="shared" si="119"/>
        <v>0.03</v>
      </c>
      <c r="K536">
        <f t="shared" si="120"/>
        <v>0</v>
      </c>
      <c r="L536">
        <f t="shared" si="121"/>
        <v>-0.03</v>
      </c>
      <c r="M536">
        <f t="shared" si="122"/>
        <v>-0.06</v>
      </c>
      <c r="N536">
        <f t="shared" si="123"/>
        <v>-0.09</v>
      </c>
      <c r="O536">
        <f t="shared" si="124"/>
        <v>-0.12</v>
      </c>
      <c r="P536">
        <f t="shared" si="125"/>
        <v>-0.15</v>
      </c>
    </row>
    <row r="537" spans="1:16" x14ac:dyDescent="0.3">
      <c r="A537" s="6">
        <v>46527</v>
      </c>
      <c r="B537" s="8">
        <f t="shared" si="113"/>
        <v>140</v>
      </c>
      <c r="C537" s="8">
        <f t="shared" si="114"/>
        <v>146</v>
      </c>
      <c r="D537" s="7">
        <f t="shared" si="115"/>
        <v>-0.15</v>
      </c>
      <c r="F537">
        <f t="shared" si="112"/>
        <v>0.15</v>
      </c>
      <c r="G537">
        <f t="shared" si="116"/>
        <v>0.12</v>
      </c>
      <c r="H537">
        <f t="shared" si="117"/>
        <v>0.09</v>
      </c>
      <c r="I537">
        <f t="shared" si="118"/>
        <v>0.06</v>
      </c>
      <c r="J537">
        <f t="shared" si="119"/>
        <v>0.03</v>
      </c>
      <c r="K537">
        <f t="shared" si="120"/>
        <v>0</v>
      </c>
      <c r="L537">
        <f t="shared" si="121"/>
        <v>-0.03</v>
      </c>
      <c r="M537">
        <f t="shared" si="122"/>
        <v>-0.06</v>
      </c>
      <c r="N537">
        <f t="shared" si="123"/>
        <v>-0.09</v>
      </c>
      <c r="O537">
        <f t="shared" si="124"/>
        <v>-0.12</v>
      </c>
      <c r="P537">
        <f t="shared" si="125"/>
        <v>-0.15</v>
      </c>
    </row>
    <row r="538" spans="1:16" x14ac:dyDescent="0.3">
      <c r="A538" s="6">
        <v>46528</v>
      </c>
      <c r="B538" s="8">
        <f t="shared" si="113"/>
        <v>141</v>
      </c>
      <c r="C538" s="8">
        <f t="shared" si="114"/>
        <v>147</v>
      </c>
      <c r="D538" s="7">
        <f t="shared" si="115"/>
        <v>-0.15</v>
      </c>
      <c r="F538">
        <f t="shared" si="112"/>
        <v>0.15</v>
      </c>
      <c r="G538">
        <f t="shared" si="116"/>
        <v>0.12</v>
      </c>
      <c r="H538">
        <f t="shared" si="117"/>
        <v>0.09</v>
      </c>
      <c r="I538">
        <f t="shared" si="118"/>
        <v>0.06</v>
      </c>
      <c r="J538">
        <f t="shared" si="119"/>
        <v>0.03</v>
      </c>
      <c r="K538">
        <f t="shared" si="120"/>
        <v>0</v>
      </c>
      <c r="L538">
        <f t="shared" si="121"/>
        <v>-0.03</v>
      </c>
      <c r="M538">
        <f t="shared" si="122"/>
        <v>-0.06</v>
      </c>
      <c r="N538">
        <f t="shared" si="123"/>
        <v>-0.09</v>
      </c>
      <c r="O538">
        <f t="shared" si="124"/>
        <v>-0.12</v>
      </c>
      <c r="P538">
        <f t="shared" si="125"/>
        <v>-0.15</v>
      </c>
    </row>
    <row r="539" spans="1:16" x14ac:dyDescent="0.3">
      <c r="A539" s="6">
        <v>46529</v>
      </c>
      <c r="B539" s="8">
        <f t="shared" si="113"/>
        <v>142</v>
      </c>
      <c r="C539" s="8">
        <f t="shared" si="114"/>
        <v>148</v>
      </c>
      <c r="D539" s="7">
        <f t="shared" si="115"/>
        <v>-0.15</v>
      </c>
      <c r="F539">
        <f t="shared" si="112"/>
        <v>0.15</v>
      </c>
      <c r="G539">
        <f t="shared" si="116"/>
        <v>0.12</v>
      </c>
      <c r="H539">
        <f t="shared" si="117"/>
        <v>0.09</v>
      </c>
      <c r="I539">
        <f t="shared" si="118"/>
        <v>0.06</v>
      </c>
      <c r="J539">
        <f t="shared" si="119"/>
        <v>0.03</v>
      </c>
      <c r="K539">
        <f t="shared" si="120"/>
        <v>0</v>
      </c>
      <c r="L539">
        <f t="shared" si="121"/>
        <v>-0.03</v>
      </c>
      <c r="M539">
        <f t="shared" si="122"/>
        <v>-0.06</v>
      </c>
      <c r="N539">
        <f t="shared" si="123"/>
        <v>-0.09</v>
      </c>
      <c r="O539">
        <f t="shared" si="124"/>
        <v>-0.12</v>
      </c>
      <c r="P539">
        <f t="shared" si="125"/>
        <v>-0.15</v>
      </c>
    </row>
    <row r="540" spans="1:16" x14ac:dyDescent="0.3">
      <c r="A540" s="6">
        <v>46530</v>
      </c>
      <c r="B540" s="8">
        <f t="shared" si="113"/>
        <v>143</v>
      </c>
      <c r="C540" s="8">
        <f t="shared" si="114"/>
        <v>149</v>
      </c>
      <c r="D540" s="7">
        <f t="shared" si="115"/>
        <v>-0.15</v>
      </c>
      <c r="F540">
        <f t="shared" si="112"/>
        <v>0.15</v>
      </c>
      <c r="G540">
        <f t="shared" si="116"/>
        <v>0.12</v>
      </c>
      <c r="H540">
        <f t="shared" si="117"/>
        <v>0.09</v>
      </c>
      <c r="I540">
        <f t="shared" si="118"/>
        <v>0.06</v>
      </c>
      <c r="J540">
        <f t="shared" si="119"/>
        <v>0.03</v>
      </c>
      <c r="K540">
        <f t="shared" si="120"/>
        <v>0</v>
      </c>
      <c r="L540">
        <f t="shared" si="121"/>
        <v>-0.03</v>
      </c>
      <c r="M540">
        <f t="shared" si="122"/>
        <v>-0.06</v>
      </c>
      <c r="N540">
        <f t="shared" si="123"/>
        <v>-0.09</v>
      </c>
      <c r="O540">
        <f t="shared" si="124"/>
        <v>-0.12</v>
      </c>
      <c r="P540">
        <f t="shared" si="125"/>
        <v>-0.15</v>
      </c>
    </row>
    <row r="541" spans="1:16" x14ac:dyDescent="0.3">
      <c r="A541" s="6">
        <v>46531</v>
      </c>
      <c r="B541" s="8">
        <f t="shared" si="113"/>
        <v>144</v>
      </c>
      <c r="C541" s="8">
        <f t="shared" si="114"/>
        <v>150</v>
      </c>
      <c r="D541" s="7">
        <f t="shared" si="115"/>
        <v>-0.15</v>
      </c>
      <c r="F541">
        <f t="shared" si="112"/>
        <v>0.15</v>
      </c>
      <c r="G541">
        <f t="shared" si="116"/>
        <v>0.12</v>
      </c>
      <c r="H541">
        <f t="shared" si="117"/>
        <v>0.09</v>
      </c>
      <c r="I541">
        <f t="shared" si="118"/>
        <v>0.06</v>
      </c>
      <c r="J541">
        <f t="shared" si="119"/>
        <v>0.03</v>
      </c>
      <c r="K541">
        <f t="shared" si="120"/>
        <v>0</v>
      </c>
      <c r="L541">
        <f t="shared" si="121"/>
        <v>-0.03</v>
      </c>
      <c r="M541">
        <f t="shared" si="122"/>
        <v>-0.06</v>
      </c>
      <c r="N541">
        <f t="shared" si="123"/>
        <v>-0.09</v>
      </c>
      <c r="O541">
        <f t="shared" si="124"/>
        <v>-0.12</v>
      </c>
      <c r="P541">
        <f t="shared" si="125"/>
        <v>-0.15</v>
      </c>
    </row>
    <row r="542" spans="1:16" x14ac:dyDescent="0.3">
      <c r="A542" s="6">
        <v>46532</v>
      </c>
      <c r="B542" s="8">
        <f t="shared" si="113"/>
        <v>145</v>
      </c>
      <c r="C542" s="8">
        <f t="shared" si="114"/>
        <v>151</v>
      </c>
      <c r="D542" s="7">
        <f t="shared" si="115"/>
        <v>-0.15</v>
      </c>
      <c r="F542">
        <f t="shared" si="112"/>
        <v>0.15</v>
      </c>
      <c r="G542">
        <f t="shared" si="116"/>
        <v>0.12</v>
      </c>
      <c r="H542">
        <f t="shared" si="117"/>
        <v>0.09</v>
      </c>
      <c r="I542">
        <f t="shared" si="118"/>
        <v>0.06</v>
      </c>
      <c r="J542">
        <f t="shared" si="119"/>
        <v>0.03</v>
      </c>
      <c r="K542">
        <f t="shared" si="120"/>
        <v>0</v>
      </c>
      <c r="L542">
        <f t="shared" si="121"/>
        <v>-0.03</v>
      </c>
      <c r="M542">
        <f t="shared" si="122"/>
        <v>-0.06</v>
      </c>
      <c r="N542">
        <f t="shared" si="123"/>
        <v>-0.09</v>
      </c>
      <c r="O542">
        <f t="shared" si="124"/>
        <v>-0.12</v>
      </c>
      <c r="P542">
        <f t="shared" si="125"/>
        <v>-0.15</v>
      </c>
    </row>
    <row r="543" spans="1:16" x14ac:dyDescent="0.3">
      <c r="A543" s="6">
        <v>46533</v>
      </c>
      <c r="B543" s="8">
        <f t="shared" si="113"/>
        <v>146</v>
      </c>
      <c r="C543" s="8">
        <f t="shared" si="114"/>
        <v>152</v>
      </c>
      <c r="D543" s="7">
        <f t="shared" si="115"/>
        <v>-0.15</v>
      </c>
      <c r="F543">
        <f t="shared" si="112"/>
        <v>0.15</v>
      </c>
      <c r="G543">
        <f t="shared" si="116"/>
        <v>0.12</v>
      </c>
      <c r="H543">
        <f t="shared" si="117"/>
        <v>0.09</v>
      </c>
      <c r="I543">
        <f t="shared" si="118"/>
        <v>0.06</v>
      </c>
      <c r="J543">
        <f t="shared" si="119"/>
        <v>0.03</v>
      </c>
      <c r="K543">
        <f t="shared" si="120"/>
        <v>0</v>
      </c>
      <c r="L543">
        <f t="shared" si="121"/>
        <v>-0.03</v>
      </c>
      <c r="M543">
        <f t="shared" si="122"/>
        <v>-0.06</v>
      </c>
      <c r="N543">
        <f t="shared" si="123"/>
        <v>-0.09</v>
      </c>
      <c r="O543">
        <f t="shared" si="124"/>
        <v>-0.12</v>
      </c>
      <c r="P543">
        <f t="shared" si="125"/>
        <v>-0.15</v>
      </c>
    </row>
    <row r="544" spans="1:16" x14ac:dyDescent="0.3">
      <c r="A544" s="6">
        <v>46534</v>
      </c>
      <c r="B544" s="8">
        <f t="shared" si="113"/>
        <v>147</v>
      </c>
      <c r="C544" s="8">
        <f t="shared" si="114"/>
        <v>153</v>
      </c>
      <c r="D544" s="7">
        <f t="shared" si="115"/>
        <v>-0.15</v>
      </c>
      <c r="F544">
        <f t="shared" si="112"/>
        <v>0.15</v>
      </c>
      <c r="G544">
        <f t="shared" si="116"/>
        <v>0.12</v>
      </c>
      <c r="H544">
        <f t="shared" si="117"/>
        <v>0.09</v>
      </c>
      <c r="I544">
        <f t="shared" si="118"/>
        <v>0.06</v>
      </c>
      <c r="J544">
        <f t="shared" si="119"/>
        <v>0.03</v>
      </c>
      <c r="K544">
        <f t="shared" si="120"/>
        <v>0</v>
      </c>
      <c r="L544">
        <f t="shared" si="121"/>
        <v>-0.03</v>
      </c>
      <c r="M544">
        <f t="shared" si="122"/>
        <v>-0.06</v>
      </c>
      <c r="N544">
        <f t="shared" si="123"/>
        <v>-0.09</v>
      </c>
      <c r="O544">
        <f t="shared" si="124"/>
        <v>-0.12</v>
      </c>
      <c r="P544">
        <f t="shared" si="125"/>
        <v>-0.15</v>
      </c>
    </row>
    <row r="545" spans="1:16" x14ac:dyDescent="0.3">
      <c r="A545" s="6">
        <v>46535</v>
      </c>
      <c r="B545" s="8">
        <f t="shared" si="113"/>
        <v>148</v>
      </c>
      <c r="C545" s="8">
        <f t="shared" si="114"/>
        <v>154</v>
      </c>
      <c r="D545" s="7">
        <f t="shared" si="115"/>
        <v>-0.15</v>
      </c>
      <c r="F545">
        <f t="shared" si="112"/>
        <v>0.15</v>
      </c>
      <c r="G545">
        <f t="shared" si="116"/>
        <v>0.12</v>
      </c>
      <c r="H545">
        <f t="shared" si="117"/>
        <v>0.09</v>
      </c>
      <c r="I545">
        <f t="shared" si="118"/>
        <v>0.06</v>
      </c>
      <c r="J545">
        <f t="shared" si="119"/>
        <v>0.03</v>
      </c>
      <c r="K545">
        <f t="shared" si="120"/>
        <v>0</v>
      </c>
      <c r="L545">
        <f t="shared" si="121"/>
        <v>-0.03</v>
      </c>
      <c r="M545">
        <f t="shared" si="122"/>
        <v>-0.06</v>
      </c>
      <c r="N545">
        <f t="shared" si="123"/>
        <v>-0.09</v>
      </c>
      <c r="O545">
        <f t="shared" si="124"/>
        <v>-0.12</v>
      </c>
      <c r="P545">
        <f t="shared" si="125"/>
        <v>-0.15</v>
      </c>
    </row>
    <row r="546" spans="1:16" x14ac:dyDescent="0.3">
      <c r="A546" s="6">
        <v>46536</v>
      </c>
      <c r="B546" s="8">
        <f t="shared" si="113"/>
        <v>149</v>
      </c>
      <c r="C546" s="8">
        <f t="shared" si="114"/>
        <v>155</v>
      </c>
      <c r="D546" s="7">
        <f t="shared" si="115"/>
        <v>-0.15</v>
      </c>
      <c r="F546">
        <f t="shared" si="112"/>
        <v>0.15</v>
      </c>
      <c r="G546">
        <f t="shared" si="116"/>
        <v>0.12</v>
      </c>
      <c r="H546">
        <f t="shared" si="117"/>
        <v>0.09</v>
      </c>
      <c r="I546">
        <f t="shared" si="118"/>
        <v>0.06</v>
      </c>
      <c r="J546">
        <f t="shared" si="119"/>
        <v>0.03</v>
      </c>
      <c r="K546">
        <f t="shared" si="120"/>
        <v>0</v>
      </c>
      <c r="L546">
        <f t="shared" si="121"/>
        <v>-0.03</v>
      </c>
      <c r="M546">
        <f t="shared" si="122"/>
        <v>-0.06</v>
      </c>
      <c r="N546">
        <f t="shared" si="123"/>
        <v>-0.09</v>
      </c>
      <c r="O546">
        <f t="shared" si="124"/>
        <v>-0.12</v>
      </c>
      <c r="P546">
        <f t="shared" si="125"/>
        <v>-0.15</v>
      </c>
    </row>
    <row r="547" spans="1:16" x14ac:dyDescent="0.3">
      <c r="A547" s="6">
        <v>46537</v>
      </c>
      <c r="B547" s="8">
        <f t="shared" si="113"/>
        <v>150</v>
      </c>
      <c r="C547" s="8">
        <f t="shared" si="114"/>
        <v>156</v>
      </c>
      <c r="D547" s="7">
        <f t="shared" si="115"/>
        <v>-0.15</v>
      </c>
      <c r="F547">
        <f t="shared" si="112"/>
        <v>0.15</v>
      </c>
      <c r="G547">
        <f t="shared" si="116"/>
        <v>0.12</v>
      </c>
      <c r="H547">
        <f t="shared" si="117"/>
        <v>0.09</v>
      </c>
      <c r="I547">
        <f t="shared" si="118"/>
        <v>0.06</v>
      </c>
      <c r="J547">
        <f t="shared" si="119"/>
        <v>0.03</v>
      </c>
      <c r="K547">
        <f t="shared" si="120"/>
        <v>0</v>
      </c>
      <c r="L547">
        <f t="shared" si="121"/>
        <v>-0.03</v>
      </c>
      <c r="M547">
        <f t="shared" si="122"/>
        <v>-0.06</v>
      </c>
      <c r="N547">
        <f t="shared" si="123"/>
        <v>-0.09</v>
      </c>
      <c r="O547">
        <f t="shared" si="124"/>
        <v>-0.12</v>
      </c>
      <c r="P547">
        <f t="shared" si="125"/>
        <v>-0.15</v>
      </c>
    </row>
    <row r="548" spans="1:16" x14ac:dyDescent="0.3">
      <c r="A548" s="6">
        <v>46538</v>
      </c>
      <c r="B548" s="8">
        <f t="shared" si="113"/>
        <v>151</v>
      </c>
      <c r="C548" s="8">
        <f t="shared" si="114"/>
        <v>157</v>
      </c>
      <c r="D548" s="7">
        <f t="shared" si="115"/>
        <v>-0.15</v>
      </c>
      <c r="F548">
        <f t="shared" si="112"/>
        <v>0.15</v>
      </c>
      <c r="G548">
        <f t="shared" si="116"/>
        <v>0.12</v>
      </c>
      <c r="H548">
        <f t="shared" si="117"/>
        <v>0.09</v>
      </c>
      <c r="I548">
        <f t="shared" si="118"/>
        <v>0.06</v>
      </c>
      <c r="J548">
        <f t="shared" si="119"/>
        <v>0.03</v>
      </c>
      <c r="K548">
        <f t="shared" si="120"/>
        <v>0</v>
      </c>
      <c r="L548">
        <f t="shared" si="121"/>
        <v>-0.03</v>
      </c>
      <c r="M548">
        <f t="shared" si="122"/>
        <v>-0.06</v>
      </c>
      <c r="N548">
        <f t="shared" si="123"/>
        <v>-0.09</v>
      </c>
      <c r="O548">
        <f t="shared" si="124"/>
        <v>-0.12</v>
      </c>
      <c r="P548">
        <f t="shared" si="125"/>
        <v>-0.15</v>
      </c>
    </row>
    <row r="549" spans="1:16" x14ac:dyDescent="0.3">
      <c r="A549" s="6">
        <v>46539</v>
      </c>
      <c r="B549" s="8">
        <f t="shared" si="113"/>
        <v>152</v>
      </c>
      <c r="C549" s="8">
        <f t="shared" si="114"/>
        <v>158</v>
      </c>
      <c r="D549" s="7">
        <f t="shared" si="115"/>
        <v>-0.15</v>
      </c>
      <c r="F549">
        <f t="shared" si="112"/>
        <v>0.15</v>
      </c>
      <c r="G549">
        <f t="shared" si="116"/>
        <v>0.12</v>
      </c>
      <c r="H549">
        <f t="shared" si="117"/>
        <v>0.09</v>
      </c>
      <c r="I549">
        <f t="shared" si="118"/>
        <v>0.06</v>
      </c>
      <c r="J549">
        <f t="shared" si="119"/>
        <v>0.03</v>
      </c>
      <c r="K549">
        <f t="shared" si="120"/>
        <v>0</v>
      </c>
      <c r="L549">
        <f t="shared" si="121"/>
        <v>-0.03</v>
      </c>
      <c r="M549">
        <f t="shared" si="122"/>
        <v>-0.06</v>
      </c>
      <c r="N549">
        <f t="shared" si="123"/>
        <v>-0.09</v>
      </c>
      <c r="O549">
        <f t="shared" si="124"/>
        <v>-0.12</v>
      </c>
      <c r="P549">
        <f t="shared" si="125"/>
        <v>-0.15</v>
      </c>
    </row>
    <row r="550" spans="1:16" x14ac:dyDescent="0.3">
      <c r="A550" s="6">
        <v>46540</v>
      </c>
      <c r="B550" s="8">
        <f t="shared" si="113"/>
        <v>153</v>
      </c>
      <c r="C550" s="8">
        <f t="shared" si="114"/>
        <v>159</v>
      </c>
      <c r="D550" s="7">
        <f t="shared" si="115"/>
        <v>-0.15</v>
      </c>
      <c r="F550">
        <f t="shared" si="112"/>
        <v>0.15</v>
      </c>
      <c r="G550">
        <f t="shared" si="116"/>
        <v>0.12</v>
      </c>
      <c r="H550">
        <f t="shared" si="117"/>
        <v>0.09</v>
      </c>
      <c r="I550">
        <f t="shared" si="118"/>
        <v>0.06</v>
      </c>
      <c r="J550">
        <f t="shared" si="119"/>
        <v>0.03</v>
      </c>
      <c r="K550">
        <f t="shared" si="120"/>
        <v>0</v>
      </c>
      <c r="L550">
        <f t="shared" si="121"/>
        <v>-0.03</v>
      </c>
      <c r="M550">
        <f t="shared" si="122"/>
        <v>-0.06</v>
      </c>
      <c r="N550">
        <f t="shared" si="123"/>
        <v>-0.09</v>
      </c>
      <c r="O550">
        <f t="shared" si="124"/>
        <v>-0.12</v>
      </c>
      <c r="P550">
        <f t="shared" si="125"/>
        <v>-0.15</v>
      </c>
    </row>
  </sheetData>
  <phoneticPr fontId="2" type="noConversion"/>
  <conditionalFormatting sqref="D2:D5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P5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91C1-BB1C-4657-80B0-224AE3647BA9}">
  <dimension ref="A1:S550"/>
  <sheetViews>
    <sheetView workbookViewId="0">
      <selection activeCell="B13" sqref="B13"/>
    </sheetView>
  </sheetViews>
  <sheetFormatPr defaultRowHeight="14.4" x14ac:dyDescent="0.3"/>
  <cols>
    <col min="1" max="1" width="13.6640625" style="7" customWidth="1"/>
    <col min="2" max="2" width="16.5546875" customWidth="1"/>
    <col min="3" max="3" width="8.88671875" style="2"/>
    <col min="19" max="19" width="5.21875" customWidth="1"/>
  </cols>
  <sheetData>
    <row r="1" spans="1:19" s="4" customFormat="1" x14ac:dyDescent="0.3">
      <c r="A1" s="22" t="s">
        <v>29</v>
      </c>
      <c r="B1" s="4" t="s">
        <v>30</v>
      </c>
      <c r="C1" s="5" t="s">
        <v>11</v>
      </c>
      <c r="D1" s="4" t="s">
        <v>10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</row>
    <row r="2" spans="1:19" x14ac:dyDescent="0.3">
      <c r="A2" s="8">
        <v>-30</v>
      </c>
      <c r="B2" s="7">
        <f t="shared" ref="B2:B31" si="0" xml:space="preserve"> (((A2 + $R$7) / $R$4) * ABS((A2 + $R$7) / $R$4))</f>
        <v>-1.3611111111111114</v>
      </c>
      <c r="D2">
        <f>(-10/10) * $B2</f>
        <v>1.3611111111111114</v>
      </c>
      <c r="E2">
        <f>(-8/10) * $B2</f>
        <v>1.0888888888888892</v>
      </c>
      <c r="F2">
        <f>(-6/10) * $B2</f>
        <v>0.81666666666666676</v>
      </c>
      <c r="G2">
        <f>(-4/10) * $B2</f>
        <v>0.54444444444444462</v>
      </c>
      <c r="H2">
        <f>(-2/10) * $B2</f>
        <v>0.27222222222222231</v>
      </c>
      <c r="I2">
        <f>(0/10) * $B2</f>
        <v>0</v>
      </c>
      <c r="J2">
        <f>(2/10) * $B2</f>
        <v>-0.27222222222222231</v>
      </c>
      <c r="K2">
        <f>(4/10) * $B2</f>
        <v>-0.54444444444444462</v>
      </c>
      <c r="L2">
        <f>(6/10) * $B2</f>
        <v>-0.81666666666666676</v>
      </c>
      <c r="M2">
        <f>(8/10) * $B2</f>
        <v>-1.0888888888888892</v>
      </c>
      <c r="N2">
        <f>(10/10) * $B2</f>
        <v>-1.3611111111111114</v>
      </c>
    </row>
    <row r="3" spans="1:19" x14ac:dyDescent="0.3">
      <c r="A3" s="8">
        <v>-29</v>
      </c>
      <c r="B3" s="7">
        <f t="shared" si="0"/>
        <v>-1.2844444444444443</v>
      </c>
      <c r="D3">
        <f t="shared" ref="D3:D66" si="1">(-10/10) * $B3</f>
        <v>1.2844444444444443</v>
      </c>
      <c r="E3">
        <f t="shared" ref="E3:E66" si="2">(-8/10) * $B3</f>
        <v>1.0275555555555556</v>
      </c>
      <c r="F3">
        <f t="shared" ref="F3:F66" si="3">(-6/10) * $B3</f>
        <v>0.7706666666666665</v>
      </c>
      <c r="G3">
        <f t="shared" ref="G3:G66" si="4">(-4/10) * $B3</f>
        <v>0.51377777777777778</v>
      </c>
      <c r="H3">
        <f t="shared" ref="H3:H66" si="5">(-2/10) * $B3</f>
        <v>0.25688888888888889</v>
      </c>
      <c r="I3">
        <f t="shared" ref="I3:I66" si="6">(0/10) * $B3</f>
        <v>0</v>
      </c>
      <c r="J3">
        <f t="shared" ref="J3:J66" si="7">(2/10) * $B3</f>
        <v>-0.25688888888888889</v>
      </c>
      <c r="K3">
        <f t="shared" ref="K3:K66" si="8">(4/10) * $B3</f>
        <v>-0.51377777777777778</v>
      </c>
      <c r="L3">
        <f t="shared" ref="L3:L66" si="9">(6/10) * $B3</f>
        <v>-0.7706666666666665</v>
      </c>
      <c r="M3">
        <f t="shared" ref="M3:M66" si="10">(8/10) * $B3</f>
        <v>-1.0275555555555556</v>
      </c>
      <c r="N3">
        <f t="shared" ref="N3:N66" si="11">(10/10) * $B3</f>
        <v>-1.2844444444444443</v>
      </c>
      <c r="R3" s="13" t="s">
        <v>31</v>
      </c>
      <c r="S3" s="14"/>
    </row>
    <row r="4" spans="1:19" x14ac:dyDescent="0.3">
      <c r="A4" s="8">
        <v>-28</v>
      </c>
      <c r="B4" s="7">
        <f t="shared" si="0"/>
        <v>-1.2100000000000002</v>
      </c>
      <c r="D4">
        <f t="shared" si="1"/>
        <v>1.2100000000000002</v>
      </c>
      <c r="E4">
        <f t="shared" si="2"/>
        <v>0.96800000000000019</v>
      </c>
      <c r="F4">
        <f t="shared" si="3"/>
        <v>0.72600000000000009</v>
      </c>
      <c r="G4">
        <f t="shared" si="4"/>
        <v>0.4840000000000001</v>
      </c>
      <c r="H4">
        <f t="shared" si="5"/>
        <v>0.24200000000000005</v>
      </c>
      <c r="I4">
        <f t="shared" si="6"/>
        <v>0</v>
      </c>
      <c r="J4">
        <f t="shared" si="7"/>
        <v>-0.24200000000000005</v>
      </c>
      <c r="K4">
        <f t="shared" si="8"/>
        <v>-0.4840000000000001</v>
      </c>
      <c r="L4">
        <f t="shared" si="9"/>
        <v>-0.72600000000000009</v>
      </c>
      <c r="M4">
        <f t="shared" si="10"/>
        <v>-0.96800000000000019</v>
      </c>
      <c r="N4">
        <f t="shared" si="11"/>
        <v>-1.2100000000000002</v>
      </c>
      <c r="R4" s="15">
        <v>30</v>
      </c>
      <c r="S4" s="16"/>
    </row>
    <row r="5" spans="1:19" x14ac:dyDescent="0.3">
      <c r="A5" s="8">
        <v>-27</v>
      </c>
      <c r="B5" s="7">
        <f t="shared" si="0"/>
        <v>-1.1377777777777778</v>
      </c>
      <c r="D5">
        <f t="shared" si="1"/>
        <v>1.1377777777777778</v>
      </c>
      <c r="E5">
        <f t="shared" si="2"/>
        <v>0.91022222222222227</v>
      </c>
      <c r="F5">
        <f t="shared" si="3"/>
        <v>0.68266666666666664</v>
      </c>
      <c r="G5">
        <f t="shared" si="4"/>
        <v>0.45511111111111113</v>
      </c>
      <c r="H5">
        <f t="shared" si="5"/>
        <v>0.22755555555555557</v>
      </c>
      <c r="I5">
        <f t="shared" si="6"/>
        <v>0</v>
      </c>
      <c r="J5">
        <f t="shared" si="7"/>
        <v>-0.22755555555555557</v>
      </c>
      <c r="K5">
        <f t="shared" si="8"/>
        <v>-0.45511111111111113</v>
      </c>
      <c r="L5">
        <f t="shared" si="9"/>
        <v>-0.68266666666666664</v>
      </c>
      <c r="M5">
        <f t="shared" si="10"/>
        <v>-0.91022222222222227</v>
      </c>
      <c r="N5">
        <f t="shared" si="11"/>
        <v>-1.1377777777777778</v>
      </c>
      <c r="Q5" s="21" t="s">
        <v>28</v>
      </c>
      <c r="R5" s="15"/>
      <c r="S5" s="16"/>
    </row>
    <row r="6" spans="1:19" x14ac:dyDescent="0.3">
      <c r="A6" s="8">
        <v>-26</v>
      </c>
      <c r="B6" s="7">
        <f t="shared" si="0"/>
        <v>-1.0677777777777779</v>
      </c>
      <c r="D6">
        <f t="shared" si="1"/>
        <v>1.0677777777777779</v>
      </c>
      <c r="E6">
        <f t="shared" si="2"/>
        <v>0.85422222222222244</v>
      </c>
      <c r="F6">
        <f t="shared" si="3"/>
        <v>0.64066666666666672</v>
      </c>
      <c r="G6">
        <f t="shared" si="4"/>
        <v>0.42711111111111122</v>
      </c>
      <c r="H6">
        <f t="shared" si="5"/>
        <v>0.21355555555555561</v>
      </c>
      <c r="I6">
        <f t="shared" si="6"/>
        <v>0</v>
      </c>
      <c r="J6">
        <f t="shared" si="7"/>
        <v>-0.21355555555555561</v>
      </c>
      <c r="K6">
        <f t="shared" si="8"/>
        <v>-0.42711111111111122</v>
      </c>
      <c r="L6">
        <f t="shared" si="9"/>
        <v>-0.64066666666666672</v>
      </c>
      <c r="M6">
        <f t="shared" si="10"/>
        <v>-0.85422222222222244</v>
      </c>
      <c r="N6">
        <f t="shared" si="11"/>
        <v>-1.0677777777777779</v>
      </c>
      <c r="R6" s="17" t="s">
        <v>76</v>
      </c>
      <c r="S6" s="18"/>
    </row>
    <row r="7" spans="1:19" x14ac:dyDescent="0.3">
      <c r="A7" s="8">
        <v>-25</v>
      </c>
      <c r="B7" s="7">
        <f t="shared" si="0"/>
        <v>-1</v>
      </c>
      <c r="D7">
        <f t="shared" si="1"/>
        <v>1</v>
      </c>
      <c r="E7">
        <f t="shared" si="2"/>
        <v>0.8</v>
      </c>
      <c r="F7">
        <f t="shared" si="3"/>
        <v>0.6</v>
      </c>
      <c r="G7">
        <f t="shared" si="4"/>
        <v>0.4</v>
      </c>
      <c r="H7">
        <f t="shared" si="5"/>
        <v>0.2</v>
      </c>
      <c r="I7">
        <f t="shared" si="6"/>
        <v>0</v>
      </c>
      <c r="J7">
        <f t="shared" si="7"/>
        <v>-0.2</v>
      </c>
      <c r="K7">
        <f t="shared" si="8"/>
        <v>-0.4</v>
      </c>
      <c r="L7">
        <f t="shared" si="9"/>
        <v>-0.6</v>
      </c>
      <c r="M7">
        <f t="shared" si="10"/>
        <v>-0.8</v>
      </c>
      <c r="N7">
        <f t="shared" si="11"/>
        <v>-1</v>
      </c>
      <c r="R7" s="19">
        <v>-5</v>
      </c>
      <c r="S7" s="20"/>
    </row>
    <row r="8" spans="1:19" x14ac:dyDescent="0.3">
      <c r="A8" s="8">
        <v>-24</v>
      </c>
      <c r="B8" s="7">
        <f t="shared" si="0"/>
        <v>-0.93444444444444441</v>
      </c>
      <c r="D8">
        <f t="shared" si="1"/>
        <v>0.93444444444444441</v>
      </c>
      <c r="E8">
        <f t="shared" si="2"/>
        <v>0.74755555555555553</v>
      </c>
      <c r="F8">
        <f t="shared" si="3"/>
        <v>0.56066666666666665</v>
      </c>
      <c r="G8">
        <f t="shared" si="4"/>
        <v>0.37377777777777776</v>
      </c>
      <c r="H8">
        <f t="shared" si="5"/>
        <v>0.18688888888888888</v>
      </c>
      <c r="I8">
        <f t="shared" si="6"/>
        <v>0</v>
      </c>
      <c r="J8">
        <f t="shared" si="7"/>
        <v>-0.18688888888888888</v>
      </c>
      <c r="K8">
        <f t="shared" si="8"/>
        <v>-0.37377777777777776</v>
      </c>
      <c r="L8">
        <f t="shared" si="9"/>
        <v>-0.56066666666666665</v>
      </c>
      <c r="M8">
        <f t="shared" si="10"/>
        <v>-0.74755555555555553</v>
      </c>
      <c r="N8">
        <f t="shared" si="11"/>
        <v>-0.93444444444444441</v>
      </c>
    </row>
    <row r="9" spans="1:19" x14ac:dyDescent="0.3">
      <c r="A9" s="8">
        <v>-23</v>
      </c>
      <c r="B9" s="7">
        <f t="shared" si="0"/>
        <v>-0.87111111111111117</v>
      </c>
      <c r="D9">
        <f t="shared" si="1"/>
        <v>0.87111111111111117</v>
      </c>
      <c r="E9">
        <f t="shared" si="2"/>
        <v>0.696888888888889</v>
      </c>
      <c r="F9">
        <f t="shared" si="3"/>
        <v>0.52266666666666672</v>
      </c>
      <c r="G9">
        <f t="shared" si="4"/>
        <v>0.3484444444444445</v>
      </c>
      <c r="H9">
        <f t="shared" si="5"/>
        <v>0.17422222222222225</v>
      </c>
      <c r="I9">
        <f t="shared" si="6"/>
        <v>0</v>
      </c>
      <c r="J9">
        <f t="shared" si="7"/>
        <v>-0.17422222222222225</v>
      </c>
      <c r="K9">
        <f t="shared" si="8"/>
        <v>-0.3484444444444445</v>
      </c>
      <c r="L9">
        <f t="shared" si="9"/>
        <v>-0.52266666666666672</v>
      </c>
      <c r="M9">
        <f t="shared" si="10"/>
        <v>-0.696888888888889</v>
      </c>
      <c r="N9">
        <f t="shared" si="11"/>
        <v>-0.87111111111111117</v>
      </c>
    </row>
    <row r="10" spans="1:19" x14ac:dyDescent="0.3">
      <c r="A10" s="8">
        <v>-22</v>
      </c>
      <c r="B10" s="7">
        <f t="shared" si="0"/>
        <v>-0.81</v>
      </c>
      <c r="D10">
        <f t="shared" si="1"/>
        <v>0.81</v>
      </c>
      <c r="E10">
        <f t="shared" si="2"/>
        <v>0.64800000000000013</v>
      </c>
      <c r="F10">
        <f t="shared" si="3"/>
        <v>0.48599999999999999</v>
      </c>
      <c r="G10">
        <f t="shared" si="4"/>
        <v>0.32400000000000007</v>
      </c>
      <c r="H10">
        <f t="shared" si="5"/>
        <v>0.16200000000000003</v>
      </c>
      <c r="I10">
        <f t="shared" si="6"/>
        <v>0</v>
      </c>
      <c r="J10">
        <f t="shared" si="7"/>
        <v>-0.16200000000000003</v>
      </c>
      <c r="K10">
        <f t="shared" si="8"/>
        <v>-0.32400000000000007</v>
      </c>
      <c r="L10">
        <f t="shared" si="9"/>
        <v>-0.48599999999999999</v>
      </c>
      <c r="M10">
        <f t="shared" si="10"/>
        <v>-0.64800000000000013</v>
      </c>
      <c r="N10">
        <f t="shared" si="11"/>
        <v>-0.81</v>
      </c>
    </row>
    <row r="11" spans="1:19" x14ac:dyDescent="0.3">
      <c r="A11" s="8">
        <v>-21</v>
      </c>
      <c r="B11" s="7">
        <f t="shared" si="0"/>
        <v>-0.75111111111111117</v>
      </c>
      <c r="D11">
        <f t="shared" si="1"/>
        <v>0.75111111111111117</v>
      </c>
      <c r="E11">
        <f t="shared" si="2"/>
        <v>0.60088888888888903</v>
      </c>
      <c r="F11">
        <f t="shared" si="3"/>
        <v>0.45066666666666666</v>
      </c>
      <c r="G11">
        <f t="shared" si="4"/>
        <v>0.30044444444444451</v>
      </c>
      <c r="H11">
        <f t="shared" si="5"/>
        <v>0.15022222222222226</v>
      </c>
      <c r="I11">
        <f t="shared" si="6"/>
        <v>0</v>
      </c>
      <c r="J11">
        <f t="shared" si="7"/>
        <v>-0.15022222222222226</v>
      </c>
      <c r="K11">
        <f t="shared" si="8"/>
        <v>-0.30044444444444451</v>
      </c>
      <c r="L11">
        <f t="shared" si="9"/>
        <v>-0.45066666666666666</v>
      </c>
      <c r="M11">
        <f t="shared" si="10"/>
        <v>-0.60088888888888903</v>
      </c>
      <c r="N11">
        <f t="shared" si="11"/>
        <v>-0.75111111111111117</v>
      </c>
    </row>
    <row r="12" spans="1:19" x14ac:dyDescent="0.3">
      <c r="A12" s="8">
        <v>-20</v>
      </c>
      <c r="B12" s="7">
        <f t="shared" si="0"/>
        <v>-0.69444444444444453</v>
      </c>
      <c r="D12">
        <f t="shared" si="1"/>
        <v>0.69444444444444453</v>
      </c>
      <c r="E12">
        <f t="shared" si="2"/>
        <v>0.55555555555555569</v>
      </c>
      <c r="F12">
        <f t="shared" si="3"/>
        <v>0.41666666666666669</v>
      </c>
      <c r="G12">
        <f t="shared" si="4"/>
        <v>0.27777777777777785</v>
      </c>
      <c r="H12">
        <f t="shared" si="5"/>
        <v>0.13888888888888892</v>
      </c>
      <c r="I12">
        <f t="shared" si="6"/>
        <v>0</v>
      </c>
      <c r="J12">
        <f t="shared" si="7"/>
        <v>-0.13888888888888892</v>
      </c>
      <c r="K12">
        <f t="shared" si="8"/>
        <v>-0.27777777777777785</v>
      </c>
      <c r="L12">
        <f t="shared" si="9"/>
        <v>-0.41666666666666669</v>
      </c>
      <c r="M12">
        <f t="shared" si="10"/>
        <v>-0.55555555555555569</v>
      </c>
      <c r="N12">
        <f t="shared" si="11"/>
        <v>-0.69444444444444453</v>
      </c>
      <c r="R12" s="1"/>
    </row>
    <row r="13" spans="1:19" x14ac:dyDescent="0.3">
      <c r="A13" s="8">
        <v>-19</v>
      </c>
      <c r="B13" s="7">
        <f xml:space="preserve"> (((A13 + $R$7) / $R$4) * ABS((A13 + $R$7) / $R$4))</f>
        <v>-0.64000000000000012</v>
      </c>
      <c r="D13">
        <f t="shared" si="1"/>
        <v>0.64000000000000012</v>
      </c>
      <c r="E13">
        <f t="shared" si="2"/>
        <v>0.51200000000000012</v>
      </c>
      <c r="F13">
        <f t="shared" si="3"/>
        <v>0.38400000000000006</v>
      </c>
      <c r="G13">
        <f t="shared" si="4"/>
        <v>0.25600000000000006</v>
      </c>
      <c r="H13">
        <f t="shared" si="5"/>
        <v>0.12800000000000003</v>
      </c>
      <c r="I13">
        <f t="shared" si="6"/>
        <v>0</v>
      </c>
      <c r="J13">
        <f t="shared" si="7"/>
        <v>-0.12800000000000003</v>
      </c>
      <c r="K13">
        <f t="shared" si="8"/>
        <v>-0.25600000000000006</v>
      </c>
      <c r="L13">
        <f t="shared" si="9"/>
        <v>-0.38400000000000006</v>
      </c>
      <c r="M13">
        <f t="shared" si="10"/>
        <v>-0.51200000000000012</v>
      </c>
      <c r="N13">
        <f t="shared" si="11"/>
        <v>-0.64000000000000012</v>
      </c>
    </row>
    <row r="14" spans="1:19" x14ac:dyDescent="0.3">
      <c r="A14" s="8">
        <v>-18</v>
      </c>
      <c r="B14" s="7">
        <f t="shared" si="0"/>
        <v>-0.58777777777777784</v>
      </c>
      <c r="D14">
        <f t="shared" si="1"/>
        <v>0.58777777777777784</v>
      </c>
      <c r="E14">
        <f t="shared" si="2"/>
        <v>0.47022222222222232</v>
      </c>
      <c r="F14">
        <f t="shared" si="3"/>
        <v>0.35266666666666668</v>
      </c>
      <c r="G14">
        <f t="shared" si="4"/>
        <v>0.23511111111111116</v>
      </c>
      <c r="H14">
        <f t="shared" si="5"/>
        <v>0.11755555555555558</v>
      </c>
      <c r="I14">
        <f t="shared" si="6"/>
        <v>0</v>
      </c>
      <c r="J14">
        <f t="shared" si="7"/>
        <v>-0.11755555555555558</v>
      </c>
      <c r="K14">
        <f t="shared" si="8"/>
        <v>-0.23511111111111116</v>
      </c>
      <c r="L14">
        <f t="shared" si="9"/>
        <v>-0.35266666666666668</v>
      </c>
      <c r="M14">
        <f t="shared" si="10"/>
        <v>-0.47022222222222232</v>
      </c>
      <c r="N14">
        <f t="shared" si="11"/>
        <v>-0.58777777777777784</v>
      </c>
    </row>
    <row r="15" spans="1:19" x14ac:dyDescent="0.3">
      <c r="A15" s="8">
        <v>-17</v>
      </c>
      <c r="B15" s="7">
        <f t="shared" si="0"/>
        <v>-0.53777777777777769</v>
      </c>
      <c r="D15">
        <f t="shared" si="1"/>
        <v>0.53777777777777769</v>
      </c>
      <c r="E15">
        <f t="shared" si="2"/>
        <v>0.43022222222222217</v>
      </c>
      <c r="F15">
        <f t="shared" si="3"/>
        <v>0.3226666666666666</v>
      </c>
      <c r="G15">
        <f t="shared" si="4"/>
        <v>0.21511111111111109</v>
      </c>
      <c r="H15">
        <f t="shared" si="5"/>
        <v>0.10755555555555554</v>
      </c>
      <c r="I15">
        <f t="shared" si="6"/>
        <v>0</v>
      </c>
      <c r="J15">
        <f t="shared" si="7"/>
        <v>-0.10755555555555554</v>
      </c>
      <c r="K15">
        <f t="shared" si="8"/>
        <v>-0.21511111111111109</v>
      </c>
      <c r="L15">
        <f t="shared" si="9"/>
        <v>-0.3226666666666666</v>
      </c>
      <c r="M15">
        <f t="shared" si="10"/>
        <v>-0.43022222222222217</v>
      </c>
      <c r="N15">
        <f t="shared" si="11"/>
        <v>-0.53777777777777769</v>
      </c>
    </row>
    <row r="16" spans="1:19" x14ac:dyDescent="0.3">
      <c r="A16" s="8">
        <v>-16</v>
      </c>
      <c r="B16" s="7">
        <f t="shared" si="0"/>
        <v>-0.48999999999999994</v>
      </c>
      <c r="D16">
        <f t="shared" si="1"/>
        <v>0.48999999999999994</v>
      </c>
      <c r="E16">
        <f t="shared" si="2"/>
        <v>0.39199999999999996</v>
      </c>
      <c r="F16">
        <f t="shared" si="3"/>
        <v>0.29399999999999993</v>
      </c>
      <c r="G16">
        <f t="shared" si="4"/>
        <v>0.19599999999999998</v>
      </c>
      <c r="H16">
        <f t="shared" si="5"/>
        <v>9.799999999999999E-2</v>
      </c>
      <c r="I16">
        <f t="shared" si="6"/>
        <v>0</v>
      </c>
      <c r="J16">
        <f t="shared" si="7"/>
        <v>-9.799999999999999E-2</v>
      </c>
      <c r="K16">
        <f t="shared" si="8"/>
        <v>-0.19599999999999998</v>
      </c>
      <c r="L16">
        <f t="shared" si="9"/>
        <v>-0.29399999999999993</v>
      </c>
      <c r="M16">
        <f t="shared" si="10"/>
        <v>-0.39199999999999996</v>
      </c>
      <c r="N16">
        <f t="shared" si="11"/>
        <v>-0.48999999999999994</v>
      </c>
    </row>
    <row r="17" spans="1:14" x14ac:dyDescent="0.3">
      <c r="A17" s="8">
        <v>-15</v>
      </c>
      <c r="B17" s="7">
        <f t="shared" si="0"/>
        <v>-0.44444444444444442</v>
      </c>
      <c r="D17">
        <f t="shared" si="1"/>
        <v>0.44444444444444442</v>
      </c>
      <c r="E17">
        <f t="shared" si="2"/>
        <v>0.35555555555555557</v>
      </c>
      <c r="F17">
        <f t="shared" si="3"/>
        <v>0.26666666666666666</v>
      </c>
      <c r="G17">
        <f t="shared" si="4"/>
        <v>0.17777777777777778</v>
      </c>
      <c r="H17">
        <f t="shared" si="5"/>
        <v>8.8888888888888892E-2</v>
      </c>
      <c r="I17">
        <f t="shared" si="6"/>
        <v>0</v>
      </c>
      <c r="J17">
        <f t="shared" si="7"/>
        <v>-8.8888888888888892E-2</v>
      </c>
      <c r="K17">
        <f t="shared" si="8"/>
        <v>-0.17777777777777778</v>
      </c>
      <c r="L17">
        <f t="shared" si="9"/>
        <v>-0.26666666666666666</v>
      </c>
      <c r="M17">
        <f t="shared" si="10"/>
        <v>-0.35555555555555557</v>
      </c>
      <c r="N17">
        <f t="shared" si="11"/>
        <v>-0.44444444444444442</v>
      </c>
    </row>
    <row r="18" spans="1:14" x14ac:dyDescent="0.3">
      <c r="A18" s="8">
        <v>-14</v>
      </c>
      <c r="B18" s="7">
        <f t="shared" si="0"/>
        <v>-0.40111111111111108</v>
      </c>
      <c r="D18">
        <f t="shared" si="1"/>
        <v>0.40111111111111108</v>
      </c>
      <c r="E18">
        <f t="shared" si="2"/>
        <v>0.32088888888888889</v>
      </c>
      <c r="F18">
        <f t="shared" si="3"/>
        <v>0.24066666666666664</v>
      </c>
      <c r="G18">
        <f t="shared" si="4"/>
        <v>0.16044444444444445</v>
      </c>
      <c r="H18">
        <f t="shared" si="5"/>
        <v>8.0222222222222223E-2</v>
      </c>
      <c r="I18">
        <f t="shared" si="6"/>
        <v>0</v>
      </c>
      <c r="J18">
        <f t="shared" si="7"/>
        <v>-8.0222222222222223E-2</v>
      </c>
      <c r="K18">
        <f t="shared" si="8"/>
        <v>-0.16044444444444445</v>
      </c>
      <c r="L18">
        <f t="shared" si="9"/>
        <v>-0.24066666666666664</v>
      </c>
      <c r="M18">
        <f t="shared" si="10"/>
        <v>-0.32088888888888889</v>
      </c>
      <c r="N18">
        <f t="shared" si="11"/>
        <v>-0.40111111111111108</v>
      </c>
    </row>
    <row r="19" spans="1:14" x14ac:dyDescent="0.3">
      <c r="A19" s="8">
        <v>-13</v>
      </c>
      <c r="B19" s="7">
        <f t="shared" si="0"/>
        <v>-0.36</v>
      </c>
      <c r="D19">
        <f t="shared" si="1"/>
        <v>0.36</v>
      </c>
      <c r="E19">
        <f t="shared" si="2"/>
        <v>0.28799999999999998</v>
      </c>
      <c r="F19">
        <f t="shared" si="3"/>
        <v>0.216</v>
      </c>
      <c r="G19">
        <f t="shared" si="4"/>
        <v>0.14399999999999999</v>
      </c>
      <c r="H19">
        <f t="shared" si="5"/>
        <v>7.1999999999999995E-2</v>
      </c>
      <c r="I19">
        <f t="shared" si="6"/>
        <v>0</v>
      </c>
      <c r="J19">
        <f t="shared" si="7"/>
        <v>-7.1999999999999995E-2</v>
      </c>
      <c r="K19">
        <f t="shared" si="8"/>
        <v>-0.14399999999999999</v>
      </c>
      <c r="L19">
        <f t="shared" si="9"/>
        <v>-0.216</v>
      </c>
      <c r="M19">
        <f t="shared" si="10"/>
        <v>-0.28799999999999998</v>
      </c>
      <c r="N19">
        <f t="shared" si="11"/>
        <v>-0.36</v>
      </c>
    </row>
    <row r="20" spans="1:14" x14ac:dyDescent="0.3">
      <c r="A20" s="8">
        <v>-12</v>
      </c>
      <c r="B20" s="7">
        <f t="shared" si="0"/>
        <v>-0.32111111111111107</v>
      </c>
      <c r="D20">
        <f t="shared" si="1"/>
        <v>0.32111111111111107</v>
      </c>
      <c r="E20">
        <f t="shared" si="2"/>
        <v>0.25688888888888889</v>
      </c>
      <c r="F20">
        <f t="shared" si="3"/>
        <v>0.19266666666666662</v>
      </c>
      <c r="G20">
        <f t="shared" si="4"/>
        <v>0.12844444444444444</v>
      </c>
      <c r="H20">
        <f t="shared" si="5"/>
        <v>6.4222222222222222E-2</v>
      </c>
      <c r="I20">
        <f t="shared" si="6"/>
        <v>0</v>
      </c>
      <c r="J20">
        <f t="shared" si="7"/>
        <v>-6.4222222222222222E-2</v>
      </c>
      <c r="K20">
        <f t="shared" si="8"/>
        <v>-0.12844444444444444</v>
      </c>
      <c r="L20">
        <f t="shared" si="9"/>
        <v>-0.19266666666666662</v>
      </c>
      <c r="M20">
        <f t="shared" si="10"/>
        <v>-0.25688888888888889</v>
      </c>
      <c r="N20">
        <f t="shared" si="11"/>
        <v>-0.32111111111111107</v>
      </c>
    </row>
    <row r="21" spans="1:14" x14ac:dyDescent="0.3">
      <c r="A21" s="8">
        <v>-11</v>
      </c>
      <c r="B21" s="7">
        <f t="shared" si="0"/>
        <v>-0.28444444444444444</v>
      </c>
      <c r="D21">
        <f t="shared" si="1"/>
        <v>0.28444444444444444</v>
      </c>
      <c r="E21">
        <f t="shared" si="2"/>
        <v>0.22755555555555557</v>
      </c>
      <c r="F21">
        <f t="shared" si="3"/>
        <v>0.17066666666666666</v>
      </c>
      <c r="G21">
        <f t="shared" si="4"/>
        <v>0.11377777777777778</v>
      </c>
      <c r="H21">
        <f t="shared" si="5"/>
        <v>5.6888888888888892E-2</v>
      </c>
      <c r="I21">
        <f t="shared" si="6"/>
        <v>0</v>
      </c>
      <c r="J21">
        <f t="shared" si="7"/>
        <v>-5.6888888888888892E-2</v>
      </c>
      <c r="K21">
        <f t="shared" si="8"/>
        <v>-0.11377777777777778</v>
      </c>
      <c r="L21">
        <f t="shared" si="9"/>
        <v>-0.17066666666666666</v>
      </c>
      <c r="M21">
        <f t="shared" si="10"/>
        <v>-0.22755555555555557</v>
      </c>
      <c r="N21">
        <f t="shared" si="11"/>
        <v>-0.28444444444444444</v>
      </c>
    </row>
    <row r="22" spans="1:14" x14ac:dyDescent="0.3">
      <c r="A22" s="8">
        <v>-10</v>
      </c>
      <c r="B22" s="7">
        <f t="shared" si="0"/>
        <v>-0.25</v>
      </c>
      <c r="D22">
        <f t="shared" si="1"/>
        <v>0.25</v>
      </c>
      <c r="E22">
        <f t="shared" si="2"/>
        <v>0.2</v>
      </c>
      <c r="F22">
        <f t="shared" si="3"/>
        <v>0.15</v>
      </c>
      <c r="G22">
        <f t="shared" si="4"/>
        <v>0.1</v>
      </c>
      <c r="H22">
        <f t="shared" si="5"/>
        <v>0.05</v>
      </c>
      <c r="I22">
        <f t="shared" si="6"/>
        <v>0</v>
      </c>
      <c r="J22">
        <f t="shared" si="7"/>
        <v>-0.05</v>
      </c>
      <c r="K22">
        <f t="shared" si="8"/>
        <v>-0.1</v>
      </c>
      <c r="L22">
        <f t="shared" si="9"/>
        <v>-0.15</v>
      </c>
      <c r="M22">
        <f t="shared" si="10"/>
        <v>-0.2</v>
      </c>
      <c r="N22">
        <f t="shared" si="11"/>
        <v>-0.25</v>
      </c>
    </row>
    <row r="23" spans="1:14" x14ac:dyDescent="0.3">
      <c r="A23" s="8">
        <v>-9</v>
      </c>
      <c r="B23" s="7">
        <f t="shared" si="0"/>
        <v>-0.21777777777777779</v>
      </c>
      <c r="D23">
        <f t="shared" si="1"/>
        <v>0.21777777777777779</v>
      </c>
      <c r="E23">
        <f t="shared" si="2"/>
        <v>0.17422222222222225</v>
      </c>
      <c r="F23">
        <f t="shared" si="3"/>
        <v>0.13066666666666668</v>
      </c>
      <c r="G23">
        <f t="shared" si="4"/>
        <v>8.7111111111111125E-2</v>
      </c>
      <c r="H23">
        <f t="shared" si="5"/>
        <v>4.3555555555555563E-2</v>
      </c>
      <c r="I23">
        <f t="shared" si="6"/>
        <v>0</v>
      </c>
      <c r="J23">
        <f t="shared" si="7"/>
        <v>-4.3555555555555563E-2</v>
      </c>
      <c r="K23">
        <f t="shared" si="8"/>
        <v>-8.7111111111111125E-2</v>
      </c>
      <c r="L23">
        <f t="shared" si="9"/>
        <v>-0.13066666666666668</v>
      </c>
      <c r="M23">
        <f t="shared" si="10"/>
        <v>-0.17422222222222225</v>
      </c>
      <c r="N23">
        <f t="shared" si="11"/>
        <v>-0.21777777777777779</v>
      </c>
    </row>
    <row r="24" spans="1:14" x14ac:dyDescent="0.3">
      <c r="A24" s="8">
        <v>-8</v>
      </c>
      <c r="B24" s="7">
        <f t="shared" si="0"/>
        <v>-0.18777777777777779</v>
      </c>
      <c r="D24">
        <f t="shared" si="1"/>
        <v>0.18777777777777779</v>
      </c>
      <c r="E24">
        <f t="shared" si="2"/>
        <v>0.15022222222222226</v>
      </c>
      <c r="F24">
        <f t="shared" si="3"/>
        <v>0.11266666666666666</v>
      </c>
      <c r="G24">
        <f t="shared" si="4"/>
        <v>7.5111111111111128E-2</v>
      </c>
      <c r="H24">
        <f t="shared" si="5"/>
        <v>3.7555555555555564E-2</v>
      </c>
      <c r="I24">
        <f t="shared" si="6"/>
        <v>0</v>
      </c>
      <c r="J24">
        <f t="shared" si="7"/>
        <v>-3.7555555555555564E-2</v>
      </c>
      <c r="K24">
        <f t="shared" si="8"/>
        <v>-7.5111111111111128E-2</v>
      </c>
      <c r="L24">
        <f t="shared" si="9"/>
        <v>-0.11266666666666666</v>
      </c>
      <c r="M24">
        <f t="shared" si="10"/>
        <v>-0.15022222222222226</v>
      </c>
      <c r="N24">
        <f t="shared" si="11"/>
        <v>-0.18777777777777779</v>
      </c>
    </row>
    <row r="25" spans="1:14" x14ac:dyDescent="0.3">
      <c r="A25" s="8">
        <v>-7</v>
      </c>
      <c r="B25" s="7">
        <f t="shared" si="0"/>
        <v>-0.16000000000000003</v>
      </c>
      <c r="D25">
        <f t="shared" si="1"/>
        <v>0.16000000000000003</v>
      </c>
      <c r="E25">
        <f t="shared" si="2"/>
        <v>0.12800000000000003</v>
      </c>
      <c r="F25">
        <f t="shared" si="3"/>
        <v>9.6000000000000016E-2</v>
      </c>
      <c r="G25">
        <f t="shared" si="4"/>
        <v>6.4000000000000015E-2</v>
      </c>
      <c r="H25">
        <f t="shared" si="5"/>
        <v>3.2000000000000008E-2</v>
      </c>
      <c r="I25">
        <f t="shared" si="6"/>
        <v>0</v>
      </c>
      <c r="J25">
        <f t="shared" si="7"/>
        <v>-3.2000000000000008E-2</v>
      </c>
      <c r="K25">
        <f t="shared" si="8"/>
        <v>-6.4000000000000015E-2</v>
      </c>
      <c r="L25">
        <f t="shared" si="9"/>
        <v>-9.6000000000000016E-2</v>
      </c>
      <c r="M25">
        <f t="shared" si="10"/>
        <v>-0.12800000000000003</v>
      </c>
      <c r="N25">
        <f t="shared" si="11"/>
        <v>-0.16000000000000003</v>
      </c>
    </row>
    <row r="26" spans="1:14" x14ac:dyDescent="0.3">
      <c r="A26" s="8">
        <v>-6</v>
      </c>
      <c r="B26" s="7">
        <f t="shared" si="0"/>
        <v>-0.13444444444444442</v>
      </c>
      <c r="D26">
        <f t="shared" si="1"/>
        <v>0.13444444444444442</v>
      </c>
      <c r="E26">
        <f t="shared" si="2"/>
        <v>0.10755555555555554</v>
      </c>
      <c r="F26">
        <f t="shared" si="3"/>
        <v>8.066666666666665E-2</v>
      </c>
      <c r="G26">
        <f t="shared" si="4"/>
        <v>5.3777777777777772E-2</v>
      </c>
      <c r="H26">
        <f t="shared" si="5"/>
        <v>2.6888888888888886E-2</v>
      </c>
      <c r="I26">
        <f t="shared" si="6"/>
        <v>0</v>
      </c>
      <c r="J26">
        <f t="shared" si="7"/>
        <v>-2.6888888888888886E-2</v>
      </c>
      <c r="K26">
        <f t="shared" si="8"/>
        <v>-5.3777777777777772E-2</v>
      </c>
      <c r="L26">
        <f t="shared" si="9"/>
        <v>-8.066666666666665E-2</v>
      </c>
      <c r="M26">
        <f t="shared" si="10"/>
        <v>-0.10755555555555554</v>
      </c>
      <c r="N26">
        <f t="shared" si="11"/>
        <v>-0.13444444444444442</v>
      </c>
    </row>
    <row r="27" spans="1:14" x14ac:dyDescent="0.3">
      <c r="A27" s="8">
        <v>-5</v>
      </c>
      <c r="B27" s="7">
        <f t="shared" si="0"/>
        <v>-0.1111111111111111</v>
      </c>
      <c r="D27">
        <f t="shared" si="1"/>
        <v>0.1111111111111111</v>
      </c>
      <c r="E27">
        <f t="shared" si="2"/>
        <v>8.8888888888888892E-2</v>
      </c>
      <c r="F27">
        <f t="shared" si="3"/>
        <v>6.6666666666666666E-2</v>
      </c>
      <c r="G27">
        <f t="shared" si="4"/>
        <v>4.4444444444444446E-2</v>
      </c>
      <c r="H27">
        <f t="shared" si="5"/>
        <v>2.2222222222222223E-2</v>
      </c>
      <c r="I27">
        <f t="shared" si="6"/>
        <v>0</v>
      </c>
      <c r="J27">
        <f t="shared" si="7"/>
        <v>-2.2222222222222223E-2</v>
      </c>
      <c r="K27">
        <f t="shared" si="8"/>
        <v>-4.4444444444444446E-2</v>
      </c>
      <c r="L27">
        <f t="shared" si="9"/>
        <v>-6.6666666666666666E-2</v>
      </c>
      <c r="M27">
        <f t="shared" si="10"/>
        <v>-8.8888888888888892E-2</v>
      </c>
      <c r="N27">
        <f t="shared" si="11"/>
        <v>-0.1111111111111111</v>
      </c>
    </row>
    <row r="28" spans="1:14" x14ac:dyDescent="0.3">
      <c r="A28" s="8">
        <v>-4</v>
      </c>
      <c r="B28" s="7">
        <f t="shared" si="0"/>
        <v>-0.09</v>
      </c>
      <c r="D28">
        <f t="shared" si="1"/>
        <v>0.09</v>
      </c>
      <c r="E28">
        <f t="shared" si="2"/>
        <v>7.1999999999999995E-2</v>
      </c>
      <c r="F28">
        <f t="shared" si="3"/>
        <v>5.3999999999999999E-2</v>
      </c>
      <c r="G28">
        <f t="shared" si="4"/>
        <v>3.5999999999999997E-2</v>
      </c>
      <c r="H28">
        <f t="shared" si="5"/>
        <v>1.7999999999999999E-2</v>
      </c>
      <c r="I28">
        <f t="shared" si="6"/>
        <v>0</v>
      </c>
      <c r="J28">
        <f t="shared" si="7"/>
        <v>-1.7999999999999999E-2</v>
      </c>
      <c r="K28">
        <f t="shared" si="8"/>
        <v>-3.5999999999999997E-2</v>
      </c>
      <c r="L28">
        <f t="shared" si="9"/>
        <v>-5.3999999999999999E-2</v>
      </c>
      <c r="M28">
        <f t="shared" si="10"/>
        <v>-7.1999999999999995E-2</v>
      </c>
      <c r="N28">
        <f t="shared" si="11"/>
        <v>-0.09</v>
      </c>
    </row>
    <row r="29" spans="1:14" x14ac:dyDescent="0.3">
      <c r="A29" s="8">
        <v>-3</v>
      </c>
      <c r="B29" s="7">
        <f t="shared" si="0"/>
        <v>-7.1111111111111111E-2</v>
      </c>
      <c r="D29">
        <f t="shared" si="1"/>
        <v>7.1111111111111111E-2</v>
      </c>
      <c r="E29">
        <f t="shared" si="2"/>
        <v>5.6888888888888892E-2</v>
      </c>
      <c r="F29">
        <f t="shared" si="3"/>
        <v>4.2666666666666665E-2</v>
      </c>
      <c r="G29">
        <f t="shared" si="4"/>
        <v>2.8444444444444446E-2</v>
      </c>
      <c r="H29">
        <f t="shared" si="5"/>
        <v>1.4222222222222223E-2</v>
      </c>
      <c r="I29">
        <f t="shared" si="6"/>
        <v>0</v>
      </c>
      <c r="J29">
        <f t="shared" si="7"/>
        <v>-1.4222222222222223E-2</v>
      </c>
      <c r="K29">
        <f t="shared" si="8"/>
        <v>-2.8444444444444446E-2</v>
      </c>
      <c r="L29">
        <f t="shared" si="9"/>
        <v>-4.2666666666666665E-2</v>
      </c>
      <c r="M29">
        <f t="shared" si="10"/>
        <v>-5.6888888888888892E-2</v>
      </c>
      <c r="N29">
        <f t="shared" si="11"/>
        <v>-7.1111111111111111E-2</v>
      </c>
    </row>
    <row r="30" spans="1:14" x14ac:dyDescent="0.3">
      <c r="A30" s="8">
        <v>-2</v>
      </c>
      <c r="B30" s="7">
        <f t="shared" si="0"/>
        <v>-5.4444444444444448E-2</v>
      </c>
      <c r="D30">
        <f t="shared" si="1"/>
        <v>5.4444444444444448E-2</v>
      </c>
      <c r="E30">
        <f t="shared" si="2"/>
        <v>4.3555555555555563E-2</v>
      </c>
      <c r="F30">
        <f t="shared" si="3"/>
        <v>3.266666666666667E-2</v>
      </c>
      <c r="G30">
        <f t="shared" si="4"/>
        <v>2.1777777777777781E-2</v>
      </c>
      <c r="H30">
        <f t="shared" si="5"/>
        <v>1.0888888888888891E-2</v>
      </c>
      <c r="I30">
        <f t="shared" si="6"/>
        <v>0</v>
      </c>
      <c r="J30">
        <f t="shared" si="7"/>
        <v>-1.0888888888888891E-2</v>
      </c>
      <c r="K30">
        <f t="shared" si="8"/>
        <v>-2.1777777777777781E-2</v>
      </c>
      <c r="L30">
        <f t="shared" si="9"/>
        <v>-3.266666666666667E-2</v>
      </c>
      <c r="M30">
        <f t="shared" si="10"/>
        <v>-4.3555555555555563E-2</v>
      </c>
      <c r="N30">
        <f t="shared" si="11"/>
        <v>-5.4444444444444448E-2</v>
      </c>
    </row>
    <row r="31" spans="1:14" x14ac:dyDescent="0.3">
      <c r="A31" s="8">
        <v>-1</v>
      </c>
      <c r="B31" s="7">
        <f t="shared" si="0"/>
        <v>-4.0000000000000008E-2</v>
      </c>
      <c r="D31">
        <f t="shared" si="1"/>
        <v>4.0000000000000008E-2</v>
      </c>
      <c r="E31">
        <f t="shared" si="2"/>
        <v>3.2000000000000008E-2</v>
      </c>
      <c r="F31">
        <f t="shared" si="3"/>
        <v>2.4000000000000004E-2</v>
      </c>
      <c r="G31">
        <f t="shared" si="4"/>
        <v>1.6000000000000004E-2</v>
      </c>
      <c r="H31">
        <f t="shared" si="5"/>
        <v>8.0000000000000019E-3</v>
      </c>
      <c r="I31">
        <f t="shared" si="6"/>
        <v>0</v>
      </c>
      <c r="J31">
        <f t="shared" si="7"/>
        <v>-8.0000000000000019E-3</v>
      </c>
      <c r="K31">
        <f t="shared" si="8"/>
        <v>-1.6000000000000004E-2</v>
      </c>
      <c r="L31">
        <f t="shared" si="9"/>
        <v>-2.4000000000000004E-2</v>
      </c>
      <c r="M31">
        <f t="shared" si="10"/>
        <v>-3.2000000000000008E-2</v>
      </c>
      <c r="N31">
        <f t="shared" si="11"/>
        <v>-4.0000000000000008E-2</v>
      </c>
    </row>
    <row r="32" spans="1:14" s="3" customFormat="1" x14ac:dyDescent="0.3">
      <c r="A32" s="8">
        <v>0</v>
      </c>
      <c r="B32" s="7">
        <f xml:space="preserve"> (((A32 + $R$7) / $R$4) * ABS((A32 + $R$7) / $R$4))</f>
        <v>-2.7777777777777776E-2</v>
      </c>
      <c r="C32" s="11"/>
      <c r="D32">
        <f t="shared" si="1"/>
        <v>2.7777777777777776E-2</v>
      </c>
      <c r="E32">
        <f t="shared" si="2"/>
        <v>2.2222222222222223E-2</v>
      </c>
      <c r="F32">
        <f t="shared" si="3"/>
        <v>1.6666666666666666E-2</v>
      </c>
      <c r="G32">
        <f t="shared" si="4"/>
        <v>1.1111111111111112E-2</v>
      </c>
      <c r="H32">
        <f t="shared" si="5"/>
        <v>5.5555555555555558E-3</v>
      </c>
      <c r="I32">
        <f t="shared" si="6"/>
        <v>0</v>
      </c>
      <c r="J32">
        <f t="shared" si="7"/>
        <v>-5.5555555555555558E-3</v>
      </c>
      <c r="K32">
        <f t="shared" si="8"/>
        <v>-1.1111111111111112E-2</v>
      </c>
      <c r="L32">
        <f t="shared" si="9"/>
        <v>-1.6666666666666666E-2</v>
      </c>
      <c r="M32">
        <f t="shared" si="10"/>
        <v>-2.2222222222222223E-2</v>
      </c>
      <c r="N32">
        <f t="shared" si="11"/>
        <v>-2.7777777777777776E-2</v>
      </c>
    </row>
    <row r="33" spans="1:14" x14ac:dyDescent="0.3">
      <c r="A33" s="8">
        <v>1</v>
      </c>
      <c r="B33" s="7">
        <f t="shared" ref="B33:B82" si="12" xml:space="preserve"> (((A33 + $R$7) / $R$4) * ABS((A33 + $R$7) / $R$4))</f>
        <v>-1.7777777777777778E-2</v>
      </c>
      <c r="D33">
        <f t="shared" si="1"/>
        <v>1.7777777777777778E-2</v>
      </c>
      <c r="E33">
        <f t="shared" si="2"/>
        <v>1.4222222222222223E-2</v>
      </c>
      <c r="F33">
        <f t="shared" si="3"/>
        <v>1.0666666666666666E-2</v>
      </c>
      <c r="G33">
        <f t="shared" si="4"/>
        <v>7.1111111111111115E-3</v>
      </c>
      <c r="H33">
        <f t="shared" si="5"/>
        <v>3.5555555555555557E-3</v>
      </c>
      <c r="I33">
        <f t="shared" si="6"/>
        <v>0</v>
      </c>
      <c r="J33">
        <f t="shared" si="7"/>
        <v>-3.5555555555555557E-3</v>
      </c>
      <c r="K33">
        <f t="shared" si="8"/>
        <v>-7.1111111111111115E-3</v>
      </c>
      <c r="L33">
        <f t="shared" si="9"/>
        <v>-1.0666666666666666E-2</v>
      </c>
      <c r="M33">
        <f t="shared" si="10"/>
        <v>-1.4222222222222223E-2</v>
      </c>
      <c r="N33">
        <f t="shared" si="11"/>
        <v>-1.7777777777777778E-2</v>
      </c>
    </row>
    <row r="34" spans="1:14" x14ac:dyDescent="0.3">
      <c r="A34" s="8">
        <v>2</v>
      </c>
      <c r="B34" s="7">
        <f t="shared" si="12"/>
        <v>-1.0000000000000002E-2</v>
      </c>
      <c r="D34">
        <f t="shared" si="1"/>
        <v>1.0000000000000002E-2</v>
      </c>
      <c r="E34">
        <f t="shared" si="2"/>
        <v>8.0000000000000019E-3</v>
      </c>
      <c r="F34">
        <f t="shared" si="3"/>
        <v>6.000000000000001E-3</v>
      </c>
      <c r="G34">
        <f t="shared" si="4"/>
        <v>4.000000000000001E-3</v>
      </c>
      <c r="H34">
        <f t="shared" si="5"/>
        <v>2.0000000000000005E-3</v>
      </c>
      <c r="I34">
        <f t="shared" si="6"/>
        <v>0</v>
      </c>
      <c r="J34">
        <f t="shared" si="7"/>
        <v>-2.0000000000000005E-3</v>
      </c>
      <c r="K34">
        <f t="shared" si="8"/>
        <v>-4.000000000000001E-3</v>
      </c>
      <c r="L34">
        <f t="shared" si="9"/>
        <v>-6.000000000000001E-3</v>
      </c>
      <c r="M34">
        <f t="shared" si="10"/>
        <v>-8.0000000000000019E-3</v>
      </c>
      <c r="N34">
        <f t="shared" si="11"/>
        <v>-1.0000000000000002E-2</v>
      </c>
    </row>
    <row r="35" spans="1:14" x14ac:dyDescent="0.3">
      <c r="A35" s="8">
        <v>3</v>
      </c>
      <c r="B35" s="7">
        <f t="shared" si="12"/>
        <v>-4.4444444444444444E-3</v>
      </c>
      <c r="D35">
        <f t="shared" si="1"/>
        <v>4.4444444444444444E-3</v>
      </c>
      <c r="E35">
        <f t="shared" si="2"/>
        <v>3.5555555555555557E-3</v>
      </c>
      <c r="F35">
        <f t="shared" si="3"/>
        <v>2.6666666666666666E-3</v>
      </c>
      <c r="G35">
        <f t="shared" si="4"/>
        <v>1.7777777777777779E-3</v>
      </c>
      <c r="H35">
        <f t="shared" si="5"/>
        <v>8.8888888888888893E-4</v>
      </c>
      <c r="I35">
        <f t="shared" si="6"/>
        <v>0</v>
      </c>
      <c r="J35">
        <f t="shared" si="7"/>
        <v>-8.8888888888888893E-4</v>
      </c>
      <c r="K35">
        <f t="shared" si="8"/>
        <v>-1.7777777777777779E-3</v>
      </c>
      <c r="L35">
        <f t="shared" si="9"/>
        <v>-2.6666666666666666E-3</v>
      </c>
      <c r="M35">
        <f t="shared" si="10"/>
        <v>-3.5555555555555557E-3</v>
      </c>
      <c r="N35">
        <f t="shared" si="11"/>
        <v>-4.4444444444444444E-3</v>
      </c>
    </row>
    <row r="36" spans="1:14" x14ac:dyDescent="0.3">
      <c r="A36" s="8">
        <v>4</v>
      </c>
      <c r="B36" s="7">
        <f t="shared" si="12"/>
        <v>-1.1111111111111111E-3</v>
      </c>
      <c r="D36">
        <f t="shared" si="1"/>
        <v>1.1111111111111111E-3</v>
      </c>
      <c r="E36">
        <f t="shared" si="2"/>
        <v>8.8888888888888893E-4</v>
      </c>
      <c r="F36">
        <f t="shared" si="3"/>
        <v>6.6666666666666664E-4</v>
      </c>
      <c r="G36">
        <f t="shared" si="4"/>
        <v>4.4444444444444447E-4</v>
      </c>
      <c r="H36">
        <f t="shared" si="5"/>
        <v>2.2222222222222223E-4</v>
      </c>
      <c r="I36">
        <f t="shared" si="6"/>
        <v>0</v>
      </c>
      <c r="J36">
        <f t="shared" si="7"/>
        <v>-2.2222222222222223E-4</v>
      </c>
      <c r="K36">
        <f t="shared" si="8"/>
        <v>-4.4444444444444447E-4</v>
      </c>
      <c r="L36">
        <f t="shared" si="9"/>
        <v>-6.6666666666666664E-4</v>
      </c>
      <c r="M36">
        <f t="shared" si="10"/>
        <v>-8.8888888888888893E-4</v>
      </c>
      <c r="N36">
        <f t="shared" si="11"/>
        <v>-1.1111111111111111E-3</v>
      </c>
    </row>
    <row r="37" spans="1:14" x14ac:dyDescent="0.3">
      <c r="A37" s="8">
        <v>5</v>
      </c>
      <c r="B37" s="7">
        <f t="shared" si="12"/>
        <v>0</v>
      </c>
      <c r="D37">
        <f t="shared" si="1"/>
        <v>0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0</v>
      </c>
      <c r="M37">
        <f t="shared" si="10"/>
        <v>0</v>
      </c>
      <c r="N37">
        <f t="shared" si="11"/>
        <v>0</v>
      </c>
    </row>
    <row r="38" spans="1:14" x14ac:dyDescent="0.3">
      <c r="A38" s="8">
        <v>6</v>
      </c>
      <c r="B38" s="7">
        <f t="shared" si="12"/>
        <v>1.1111111111111111E-3</v>
      </c>
      <c r="D38">
        <f t="shared" si="1"/>
        <v>-1.1111111111111111E-3</v>
      </c>
      <c r="E38">
        <f t="shared" si="2"/>
        <v>-8.8888888888888893E-4</v>
      </c>
      <c r="F38">
        <f t="shared" si="3"/>
        <v>-6.6666666666666664E-4</v>
      </c>
      <c r="G38">
        <f t="shared" si="4"/>
        <v>-4.4444444444444447E-4</v>
      </c>
      <c r="H38">
        <f t="shared" si="5"/>
        <v>-2.2222222222222223E-4</v>
      </c>
      <c r="I38">
        <f t="shared" si="6"/>
        <v>0</v>
      </c>
      <c r="J38">
        <f t="shared" si="7"/>
        <v>2.2222222222222223E-4</v>
      </c>
      <c r="K38">
        <f t="shared" si="8"/>
        <v>4.4444444444444447E-4</v>
      </c>
      <c r="L38">
        <f t="shared" si="9"/>
        <v>6.6666666666666664E-4</v>
      </c>
      <c r="M38">
        <f t="shared" si="10"/>
        <v>8.8888888888888893E-4</v>
      </c>
      <c r="N38">
        <f t="shared" si="11"/>
        <v>1.1111111111111111E-3</v>
      </c>
    </row>
    <row r="39" spans="1:14" x14ac:dyDescent="0.3">
      <c r="A39" s="8">
        <v>7</v>
      </c>
      <c r="B39" s="7">
        <f t="shared" si="12"/>
        <v>4.4444444444444444E-3</v>
      </c>
      <c r="D39">
        <f t="shared" si="1"/>
        <v>-4.4444444444444444E-3</v>
      </c>
      <c r="E39">
        <f t="shared" si="2"/>
        <v>-3.5555555555555557E-3</v>
      </c>
      <c r="F39">
        <f t="shared" si="3"/>
        <v>-2.6666666666666666E-3</v>
      </c>
      <c r="G39">
        <f t="shared" si="4"/>
        <v>-1.7777777777777779E-3</v>
      </c>
      <c r="H39">
        <f t="shared" si="5"/>
        <v>-8.8888888888888893E-4</v>
      </c>
      <c r="I39">
        <f t="shared" si="6"/>
        <v>0</v>
      </c>
      <c r="J39">
        <f t="shared" si="7"/>
        <v>8.8888888888888893E-4</v>
      </c>
      <c r="K39">
        <f t="shared" si="8"/>
        <v>1.7777777777777779E-3</v>
      </c>
      <c r="L39">
        <f t="shared" si="9"/>
        <v>2.6666666666666666E-3</v>
      </c>
      <c r="M39">
        <f t="shared" si="10"/>
        <v>3.5555555555555557E-3</v>
      </c>
      <c r="N39">
        <f t="shared" si="11"/>
        <v>4.4444444444444444E-3</v>
      </c>
    </row>
    <row r="40" spans="1:14" x14ac:dyDescent="0.3">
      <c r="A40" s="8">
        <v>8</v>
      </c>
      <c r="B40" s="7">
        <f t="shared" si="12"/>
        <v>1.0000000000000002E-2</v>
      </c>
      <c r="D40">
        <f t="shared" si="1"/>
        <v>-1.0000000000000002E-2</v>
      </c>
      <c r="E40">
        <f t="shared" si="2"/>
        <v>-8.0000000000000019E-3</v>
      </c>
      <c r="F40">
        <f t="shared" si="3"/>
        <v>-6.000000000000001E-3</v>
      </c>
      <c r="G40">
        <f t="shared" si="4"/>
        <v>-4.000000000000001E-3</v>
      </c>
      <c r="H40">
        <f t="shared" si="5"/>
        <v>-2.0000000000000005E-3</v>
      </c>
      <c r="I40">
        <f t="shared" si="6"/>
        <v>0</v>
      </c>
      <c r="J40">
        <f t="shared" si="7"/>
        <v>2.0000000000000005E-3</v>
      </c>
      <c r="K40">
        <f t="shared" si="8"/>
        <v>4.000000000000001E-3</v>
      </c>
      <c r="L40">
        <f t="shared" si="9"/>
        <v>6.000000000000001E-3</v>
      </c>
      <c r="M40">
        <f t="shared" si="10"/>
        <v>8.0000000000000019E-3</v>
      </c>
      <c r="N40">
        <f t="shared" si="11"/>
        <v>1.0000000000000002E-2</v>
      </c>
    </row>
    <row r="41" spans="1:14" x14ac:dyDescent="0.3">
      <c r="A41" s="8">
        <v>9</v>
      </c>
      <c r="B41" s="7">
        <f t="shared" si="12"/>
        <v>1.7777777777777778E-2</v>
      </c>
      <c r="D41">
        <f t="shared" si="1"/>
        <v>-1.7777777777777778E-2</v>
      </c>
      <c r="E41">
        <f t="shared" si="2"/>
        <v>-1.4222222222222223E-2</v>
      </c>
      <c r="F41">
        <f t="shared" si="3"/>
        <v>-1.0666666666666666E-2</v>
      </c>
      <c r="G41">
        <f t="shared" si="4"/>
        <v>-7.1111111111111115E-3</v>
      </c>
      <c r="H41">
        <f t="shared" si="5"/>
        <v>-3.5555555555555557E-3</v>
      </c>
      <c r="I41">
        <f t="shared" si="6"/>
        <v>0</v>
      </c>
      <c r="J41">
        <f t="shared" si="7"/>
        <v>3.5555555555555557E-3</v>
      </c>
      <c r="K41">
        <f t="shared" si="8"/>
        <v>7.1111111111111115E-3</v>
      </c>
      <c r="L41">
        <f t="shared" si="9"/>
        <v>1.0666666666666666E-2</v>
      </c>
      <c r="M41">
        <f t="shared" si="10"/>
        <v>1.4222222222222223E-2</v>
      </c>
      <c r="N41">
        <f t="shared" si="11"/>
        <v>1.7777777777777778E-2</v>
      </c>
    </row>
    <row r="42" spans="1:14" x14ac:dyDescent="0.3">
      <c r="A42" s="8">
        <v>10</v>
      </c>
      <c r="B42" s="7">
        <f t="shared" si="12"/>
        <v>2.7777777777777776E-2</v>
      </c>
      <c r="D42">
        <f t="shared" si="1"/>
        <v>-2.7777777777777776E-2</v>
      </c>
      <c r="E42">
        <f t="shared" si="2"/>
        <v>-2.2222222222222223E-2</v>
      </c>
      <c r="F42">
        <f t="shared" si="3"/>
        <v>-1.6666666666666666E-2</v>
      </c>
      <c r="G42">
        <f t="shared" si="4"/>
        <v>-1.1111111111111112E-2</v>
      </c>
      <c r="H42">
        <f t="shared" si="5"/>
        <v>-5.5555555555555558E-3</v>
      </c>
      <c r="I42">
        <f t="shared" si="6"/>
        <v>0</v>
      </c>
      <c r="J42">
        <f t="shared" si="7"/>
        <v>5.5555555555555558E-3</v>
      </c>
      <c r="K42">
        <f t="shared" si="8"/>
        <v>1.1111111111111112E-2</v>
      </c>
      <c r="L42">
        <f t="shared" si="9"/>
        <v>1.6666666666666666E-2</v>
      </c>
      <c r="M42">
        <f t="shared" si="10"/>
        <v>2.2222222222222223E-2</v>
      </c>
      <c r="N42">
        <f t="shared" si="11"/>
        <v>2.7777777777777776E-2</v>
      </c>
    </row>
    <row r="43" spans="1:14" x14ac:dyDescent="0.3">
      <c r="A43" s="8">
        <v>11</v>
      </c>
      <c r="B43" s="7">
        <f t="shared" si="12"/>
        <v>4.0000000000000008E-2</v>
      </c>
      <c r="D43">
        <f t="shared" si="1"/>
        <v>-4.0000000000000008E-2</v>
      </c>
      <c r="E43">
        <f t="shared" si="2"/>
        <v>-3.2000000000000008E-2</v>
      </c>
      <c r="F43">
        <f t="shared" si="3"/>
        <v>-2.4000000000000004E-2</v>
      </c>
      <c r="G43">
        <f t="shared" si="4"/>
        <v>-1.6000000000000004E-2</v>
      </c>
      <c r="H43">
        <f t="shared" si="5"/>
        <v>-8.0000000000000019E-3</v>
      </c>
      <c r="I43">
        <f t="shared" si="6"/>
        <v>0</v>
      </c>
      <c r="J43">
        <f t="shared" si="7"/>
        <v>8.0000000000000019E-3</v>
      </c>
      <c r="K43">
        <f t="shared" si="8"/>
        <v>1.6000000000000004E-2</v>
      </c>
      <c r="L43">
        <f t="shared" si="9"/>
        <v>2.4000000000000004E-2</v>
      </c>
      <c r="M43">
        <f t="shared" si="10"/>
        <v>3.2000000000000008E-2</v>
      </c>
      <c r="N43">
        <f t="shared" si="11"/>
        <v>4.0000000000000008E-2</v>
      </c>
    </row>
    <row r="44" spans="1:14" x14ac:dyDescent="0.3">
      <c r="A44" s="8">
        <v>12</v>
      </c>
      <c r="B44" s="7">
        <f t="shared" si="12"/>
        <v>5.4444444444444448E-2</v>
      </c>
      <c r="D44">
        <f t="shared" si="1"/>
        <v>-5.4444444444444448E-2</v>
      </c>
      <c r="E44">
        <f t="shared" si="2"/>
        <v>-4.3555555555555563E-2</v>
      </c>
      <c r="F44">
        <f t="shared" si="3"/>
        <v>-3.266666666666667E-2</v>
      </c>
      <c r="G44">
        <f t="shared" si="4"/>
        <v>-2.1777777777777781E-2</v>
      </c>
      <c r="H44">
        <f t="shared" si="5"/>
        <v>-1.0888888888888891E-2</v>
      </c>
      <c r="I44">
        <f t="shared" si="6"/>
        <v>0</v>
      </c>
      <c r="J44">
        <f t="shared" si="7"/>
        <v>1.0888888888888891E-2</v>
      </c>
      <c r="K44">
        <f t="shared" si="8"/>
        <v>2.1777777777777781E-2</v>
      </c>
      <c r="L44">
        <f t="shared" si="9"/>
        <v>3.266666666666667E-2</v>
      </c>
      <c r="M44">
        <f t="shared" si="10"/>
        <v>4.3555555555555563E-2</v>
      </c>
      <c r="N44">
        <f t="shared" si="11"/>
        <v>5.4444444444444448E-2</v>
      </c>
    </row>
    <row r="45" spans="1:14" x14ac:dyDescent="0.3">
      <c r="A45" s="8">
        <v>13</v>
      </c>
      <c r="B45" s="7">
        <f t="shared" si="12"/>
        <v>7.1111111111111111E-2</v>
      </c>
      <c r="D45">
        <f t="shared" si="1"/>
        <v>-7.1111111111111111E-2</v>
      </c>
      <c r="E45">
        <f t="shared" si="2"/>
        <v>-5.6888888888888892E-2</v>
      </c>
      <c r="F45">
        <f t="shared" si="3"/>
        <v>-4.2666666666666665E-2</v>
      </c>
      <c r="G45">
        <f t="shared" si="4"/>
        <v>-2.8444444444444446E-2</v>
      </c>
      <c r="H45">
        <f t="shared" si="5"/>
        <v>-1.4222222222222223E-2</v>
      </c>
      <c r="I45">
        <f t="shared" si="6"/>
        <v>0</v>
      </c>
      <c r="J45">
        <f t="shared" si="7"/>
        <v>1.4222222222222223E-2</v>
      </c>
      <c r="K45">
        <f t="shared" si="8"/>
        <v>2.8444444444444446E-2</v>
      </c>
      <c r="L45">
        <f t="shared" si="9"/>
        <v>4.2666666666666665E-2</v>
      </c>
      <c r="M45">
        <f t="shared" si="10"/>
        <v>5.6888888888888892E-2</v>
      </c>
      <c r="N45">
        <f t="shared" si="11"/>
        <v>7.1111111111111111E-2</v>
      </c>
    </row>
    <row r="46" spans="1:14" x14ac:dyDescent="0.3">
      <c r="A46" s="8">
        <v>14</v>
      </c>
      <c r="B46" s="7">
        <f t="shared" si="12"/>
        <v>0.09</v>
      </c>
      <c r="D46">
        <f t="shared" si="1"/>
        <v>-0.09</v>
      </c>
      <c r="E46">
        <f t="shared" si="2"/>
        <v>-7.1999999999999995E-2</v>
      </c>
      <c r="F46">
        <f t="shared" si="3"/>
        <v>-5.3999999999999999E-2</v>
      </c>
      <c r="G46">
        <f t="shared" si="4"/>
        <v>-3.5999999999999997E-2</v>
      </c>
      <c r="H46">
        <f t="shared" si="5"/>
        <v>-1.7999999999999999E-2</v>
      </c>
      <c r="I46">
        <f t="shared" si="6"/>
        <v>0</v>
      </c>
      <c r="J46">
        <f t="shared" si="7"/>
        <v>1.7999999999999999E-2</v>
      </c>
      <c r="K46">
        <f t="shared" si="8"/>
        <v>3.5999999999999997E-2</v>
      </c>
      <c r="L46">
        <f t="shared" si="9"/>
        <v>5.3999999999999999E-2</v>
      </c>
      <c r="M46">
        <f t="shared" si="10"/>
        <v>7.1999999999999995E-2</v>
      </c>
      <c r="N46">
        <f t="shared" si="11"/>
        <v>0.09</v>
      </c>
    </row>
    <row r="47" spans="1:14" x14ac:dyDescent="0.3">
      <c r="A47" s="8">
        <v>15</v>
      </c>
      <c r="B47" s="7">
        <f t="shared" si="12"/>
        <v>0.1111111111111111</v>
      </c>
      <c r="D47">
        <f t="shared" si="1"/>
        <v>-0.1111111111111111</v>
      </c>
      <c r="E47">
        <f t="shared" si="2"/>
        <v>-8.8888888888888892E-2</v>
      </c>
      <c r="F47">
        <f t="shared" si="3"/>
        <v>-6.6666666666666666E-2</v>
      </c>
      <c r="G47">
        <f t="shared" si="4"/>
        <v>-4.4444444444444446E-2</v>
      </c>
      <c r="H47">
        <f t="shared" si="5"/>
        <v>-2.2222222222222223E-2</v>
      </c>
      <c r="I47">
        <f t="shared" si="6"/>
        <v>0</v>
      </c>
      <c r="J47">
        <f t="shared" si="7"/>
        <v>2.2222222222222223E-2</v>
      </c>
      <c r="K47">
        <f t="shared" si="8"/>
        <v>4.4444444444444446E-2</v>
      </c>
      <c r="L47">
        <f t="shared" si="9"/>
        <v>6.6666666666666666E-2</v>
      </c>
      <c r="M47">
        <f t="shared" si="10"/>
        <v>8.8888888888888892E-2</v>
      </c>
      <c r="N47">
        <f t="shared" si="11"/>
        <v>0.1111111111111111</v>
      </c>
    </row>
    <row r="48" spans="1:14" x14ac:dyDescent="0.3">
      <c r="A48" s="8">
        <v>16</v>
      </c>
      <c r="B48" s="7">
        <f t="shared" si="12"/>
        <v>0.13444444444444442</v>
      </c>
      <c r="D48">
        <f t="shared" si="1"/>
        <v>-0.13444444444444442</v>
      </c>
      <c r="E48">
        <f t="shared" si="2"/>
        <v>-0.10755555555555554</v>
      </c>
      <c r="F48">
        <f t="shared" si="3"/>
        <v>-8.066666666666665E-2</v>
      </c>
      <c r="G48">
        <f t="shared" si="4"/>
        <v>-5.3777777777777772E-2</v>
      </c>
      <c r="H48">
        <f t="shared" si="5"/>
        <v>-2.6888888888888886E-2</v>
      </c>
      <c r="I48">
        <f t="shared" si="6"/>
        <v>0</v>
      </c>
      <c r="J48">
        <f t="shared" si="7"/>
        <v>2.6888888888888886E-2</v>
      </c>
      <c r="K48">
        <f t="shared" si="8"/>
        <v>5.3777777777777772E-2</v>
      </c>
      <c r="L48">
        <f t="shared" si="9"/>
        <v>8.066666666666665E-2</v>
      </c>
      <c r="M48">
        <f t="shared" si="10"/>
        <v>0.10755555555555554</v>
      </c>
      <c r="N48">
        <f t="shared" si="11"/>
        <v>0.13444444444444442</v>
      </c>
    </row>
    <row r="49" spans="1:14" x14ac:dyDescent="0.3">
      <c r="A49" s="8">
        <v>17</v>
      </c>
      <c r="B49" s="7">
        <f t="shared" si="12"/>
        <v>0.16000000000000003</v>
      </c>
      <c r="D49">
        <f t="shared" si="1"/>
        <v>-0.16000000000000003</v>
      </c>
      <c r="E49">
        <f t="shared" si="2"/>
        <v>-0.12800000000000003</v>
      </c>
      <c r="F49">
        <f t="shared" si="3"/>
        <v>-9.6000000000000016E-2</v>
      </c>
      <c r="G49">
        <f t="shared" si="4"/>
        <v>-6.4000000000000015E-2</v>
      </c>
      <c r="H49">
        <f t="shared" si="5"/>
        <v>-3.2000000000000008E-2</v>
      </c>
      <c r="I49">
        <f t="shared" si="6"/>
        <v>0</v>
      </c>
      <c r="J49">
        <f t="shared" si="7"/>
        <v>3.2000000000000008E-2</v>
      </c>
      <c r="K49">
        <f t="shared" si="8"/>
        <v>6.4000000000000015E-2</v>
      </c>
      <c r="L49">
        <f t="shared" si="9"/>
        <v>9.6000000000000016E-2</v>
      </c>
      <c r="M49">
        <f t="shared" si="10"/>
        <v>0.12800000000000003</v>
      </c>
      <c r="N49">
        <f t="shared" si="11"/>
        <v>0.16000000000000003</v>
      </c>
    </row>
    <row r="50" spans="1:14" x14ac:dyDescent="0.3">
      <c r="A50" s="8">
        <v>18</v>
      </c>
      <c r="B50" s="7">
        <f t="shared" si="12"/>
        <v>0.18777777777777779</v>
      </c>
      <c r="D50">
        <f t="shared" si="1"/>
        <v>-0.18777777777777779</v>
      </c>
      <c r="E50">
        <f t="shared" si="2"/>
        <v>-0.15022222222222226</v>
      </c>
      <c r="F50">
        <f t="shared" si="3"/>
        <v>-0.11266666666666666</v>
      </c>
      <c r="G50">
        <f t="shared" si="4"/>
        <v>-7.5111111111111128E-2</v>
      </c>
      <c r="H50">
        <f t="shared" si="5"/>
        <v>-3.7555555555555564E-2</v>
      </c>
      <c r="I50">
        <f t="shared" si="6"/>
        <v>0</v>
      </c>
      <c r="J50">
        <f t="shared" si="7"/>
        <v>3.7555555555555564E-2</v>
      </c>
      <c r="K50">
        <f t="shared" si="8"/>
        <v>7.5111111111111128E-2</v>
      </c>
      <c r="L50">
        <f t="shared" si="9"/>
        <v>0.11266666666666666</v>
      </c>
      <c r="M50">
        <f t="shared" si="10"/>
        <v>0.15022222222222226</v>
      </c>
      <c r="N50">
        <f t="shared" si="11"/>
        <v>0.18777777777777779</v>
      </c>
    </row>
    <row r="51" spans="1:14" x14ac:dyDescent="0.3">
      <c r="A51" s="8">
        <v>19</v>
      </c>
      <c r="B51" s="7">
        <f t="shared" si="12"/>
        <v>0.21777777777777779</v>
      </c>
      <c r="D51">
        <f t="shared" si="1"/>
        <v>-0.21777777777777779</v>
      </c>
      <c r="E51">
        <f t="shared" si="2"/>
        <v>-0.17422222222222225</v>
      </c>
      <c r="F51">
        <f t="shared" si="3"/>
        <v>-0.13066666666666668</v>
      </c>
      <c r="G51">
        <f t="shared" si="4"/>
        <v>-8.7111111111111125E-2</v>
      </c>
      <c r="H51">
        <f t="shared" si="5"/>
        <v>-4.3555555555555563E-2</v>
      </c>
      <c r="I51">
        <f t="shared" si="6"/>
        <v>0</v>
      </c>
      <c r="J51">
        <f t="shared" si="7"/>
        <v>4.3555555555555563E-2</v>
      </c>
      <c r="K51">
        <f t="shared" si="8"/>
        <v>8.7111111111111125E-2</v>
      </c>
      <c r="L51">
        <f t="shared" si="9"/>
        <v>0.13066666666666668</v>
      </c>
      <c r="M51">
        <f t="shared" si="10"/>
        <v>0.17422222222222225</v>
      </c>
      <c r="N51">
        <f t="shared" si="11"/>
        <v>0.21777777777777779</v>
      </c>
    </row>
    <row r="52" spans="1:14" x14ac:dyDescent="0.3">
      <c r="A52" s="8">
        <v>20</v>
      </c>
      <c r="B52" s="7">
        <f t="shared" si="12"/>
        <v>0.25</v>
      </c>
      <c r="D52">
        <f t="shared" si="1"/>
        <v>-0.25</v>
      </c>
      <c r="E52">
        <f t="shared" si="2"/>
        <v>-0.2</v>
      </c>
      <c r="F52">
        <f t="shared" si="3"/>
        <v>-0.15</v>
      </c>
      <c r="G52">
        <f t="shared" si="4"/>
        <v>-0.1</v>
      </c>
      <c r="H52">
        <f t="shared" si="5"/>
        <v>-0.05</v>
      </c>
      <c r="I52">
        <f t="shared" si="6"/>
        <v>0</v>
      </c>
      <c r="J52">
        <f t="shared" si="7"/>
        <v>0.05</v>
      </c>
      <c r="K52">
        <f t="shared" si="8"/>
        <v>0.1</v>
      </c>
      <c r="L52">
        <f t="shared" si="9"/>
        <v>0.15</v>
      </c>
      <c r="M52">
        <f t="shared" si="10"/>
        <v>0.2</v>
      </c>
      <c r="N52">
        <f t="shared" si="11"/>
        <v>0.25</v>
      </c>
    </row>
    <row r="53" spans="1:14" x14ac:dyDescent="0.3">
      <c r="A53" s="8">
        <v>21</v>
      </c>
      <c r="B53" s="7">
        <f t="shared" si="12"/>
        <v>0.28444444444444444</v>
      </c>
      <c r="D53">
        <f t="shared" si="1"/>
        <v>-0.28444444444444444</v>
      </c>
      <c r="E53">
        <f t="shared" si="2"/>
        <v>-0.22755555555555557</v>
      </c>
      <c r="F53">
        <f t="shared" si="3"/>
        <v>-0.17066666666666666</v>
      </c>
      <c r="G53">
        <f t="shared" si="4"/>
        <v>-0.11377777777777778</v>
      </c>
      <c r="H53">
        <f t="shared" si="5"/>
        <v>-5.6888888888888892E-2</v>
      </c>
      <c r="I53">
        <f t="shared" si="6"/>
        <v>0</v>
      </c>
      <c r="J53">
        <f t="shared" si="7"/>
        <v>5.6888888888888892E-2</v>
      </c>
      <c r="K53">
        <f t="shared" si="8"/>
        <v>0.11377777777777778</v>
      </c>
      <c r="L53">
        <f t="shared" si="9"/>
        <v>0.17066666666666666</v>
      </c>
      <c r="M53">
        <f t="shared" si="10"/>
        <v>0.22755555555555557</v>
      </c>
      <c r="N53">
        <f t="shared" si="11"/>
        <v>0.28444444444444444</v>
      </c>
    </row>
    <row r="54" spans="1:14" x14ac:dyDescent="0.3">
      <c r="A54" s="8">
        <v>22</v>
      </c>
      <c r="B54" s="7">
        <f t="shared" si="12"/>
        <v>0.32111111111111107</v>
      </c>
      <c r="D54">
        <f t="shared" si="1"/>
        <v>-0.32111111111111107</v>
      </c>
      <c r="E54">
        <f t="shared" si="2"/>
        <v>-0.25688888888888889</v>
      </c>
      <c r="F54">
        <f t="shared" si="3"/>
        <v>-0.19266666666666662</v>
      </c>
      <c r="G54">
        <f t="shared" si="4"/>
        <v>-0.12844444444444444</v>
      </c>
      <c r="H54">
        <f t="shared" si="5"/>
        <v>-6.4222222222222222E-2</v>
      </c>
      <c r="I54">
        <f t="shared" si="6"/>
        <v>0</v>
      </c>
      <c r="J54">
        <f t="shared" si="7"/>
        <v>6.4222222222222222E-2</v>
      </c>
      <c r="K54">
        <f t="shared" si="8"/>
        <v>0.12844444444444444</v>
      </c>
      <c r="L54">
        <f t="shared" si="9"/>
        <v>0.19266666666666662</v>
      </c>
      <c r="M54">
        <f t="shared" si="10"/>
        <v>0.25688888888888889</v>
      </c>
      <c r="N54">
        <f t="shared" si="11"/>
        <v>0.32111111111111107</v>
      </c>
    </row>
    <row r="55" spans="1:14" x14ac:dyDescent="0.3">
      <c r="A55" s="8">
        <v>23</v>
      </c>
      <c r="B55" s="7">
        <f t="shared" si="12"/>
        <v>0.36</v>
      </c>
      <c r="D55">
        <f t="shared" si="1"/>
        <v>-0.36</v>
      </c>
      <c r="E55">
        <f t="shared" si="2"/>
        <v>-0.28799999999999998</v>
      </c>
      <c r="F55">
        <f t="shared" si="3"/>
        <v>-0.216</v>
      </c>
      <c r="G55">
        <f t="shared" si="4"/>
        <v>-0.14399999999999999</v>
      </c>
      <c r="H55">
        <f t="shared" si="5"/>
        <v>-7.1999999999999995E-2</v>
      </c>
      <c r="I55">
        <f t="shared" si="6"/>
        <v>0</v>
      </c>
      <c r="J55">
        <f t="shared" si="7"/>
        <v>7.1999999999999995E-2</v>
      </c>
      <c r="K55">
        <f t="shared" si="8"/>
        <v>0.14399999999999999</v>
      </c>
      <c r="L55">
        <f t="shared" si="9"/>
        <v>0.216</v>
      </c>
      <c r="M55">
        <f t="shared" si="10"/>
        <v>0.28799999999999998</v>
      </c>
      <c r="N55">
        <f t="shared" si="11"/>
        <v>0.36</v>
      </c>
    </row>
    <row r="56" spans="1:14" x14ac:dyDescent="0.3">
      <c r="A56" s="8">
        <v>24</v>
      </c>
      <c r="B56" s="7">
        <f t="shared" si="12"/>
        <v>0.40111111111111108</v>
      </c>
      <c r="D56">
        <f t="shared" si="1"/>
        <v>-0.40111111111111108</v>
      </c>
      <c r="E56">
        <f t="shared" si="2"/>
        <v>-0.32088888888888889</v>
      </c>
      <c r="F56">
        <f t="shared" si="3"/>
        <v>-0.24066666666666664</v>
      </c>
      <c r="G56">
        <f t="shared" si="4"/>
        <v>-0.16044444444444445</v>
      </c>
      <c r="H56">
        <f t="shared" si="5"/>
        <v>-8.0222222222222223E-2</v>
      </c>
      <c r="I56">
        <f t="shared" si="6"/>
        <v>0</v>
      </c>
      <c r="J56">
        <f t="shared" si="7"/>
        <v>8.0222222222222223E-2</v>
      </c>
      <c r="K56">
        <f t="shared" si="8"/>
        <v>0.16044444444444445</v>
      </c>
      <c r="L56">
        <f t="shared" si="9"/>
        <v>0.24066666666666664</v>
      </c>
      <c r="M56">
        <f t="shared" si="10"/>
        <v>0.32088888888888889</v>
      </c>
      <c r="N56">
        <f t="shared" si="11"/>
        <v>0.40111111111111108</v>
      </c>
    </row>
    <row r="57" spans="1:14" x14ac:dyDescent="0.3">
      <c r="A57" s="8">
        <v>25</v>
      </c>
      <c r="B57" s="7">
        <f t="shared" si="12"/>
        <v>0.44444444444444442</v>
      </c>
      <c r="D57">
        <f t="shared" si="1"/>
        <v>-0.44444444444444442</v>
      </c>
      <c r="E57">
        <f t="shared" si="2"/>
        <v>-0.35555555555555557</v>
      </c>
      <c r="F57">
        <f t="shared" si="3"/>
        <v>-0.26666666666666666</v>
      </c>
      <c r="G57">
        <f t="shared" si="4"/>
        <v>-0.17777777777777778</v>
      </c>
      <c r="H57">
        <f t="shared" si="5"/>
        <v>-8.8888888888888892E-2</v>
      </c>
      <c r="I57">
        <f t="shared" si="6"/>
        <v>0</v>
      </c>
      <c r="J57">
        <f t="shared" si="7"/>
        <v>8.8888888888888892E-2</v>
      </c>
      <c r="K57">
        <f t="shared" si="8"/>
        <v>0.17777777777777778</v>
      </c>
      <c r="L57">
        <f t="shared" si="9"/>
        <v>0.26666666666666666</v>
      </c>
      <c r="M57">
        <f t="shared" si="10"/>
        <v>0.35555555555555557</v>
      </c>
      <c r="N57">
        <f t="shared" si="11"/>
        <v>0.44444444444444442</v>
      </c>
    </row>
    <row r="58" spans="1:14" x14ac:dyDescent="0.3">
      <c r="A58" s="8">
        <v>26</v>
      </c>
      <c r="B58" s="7">
        <f t="shared" si="12"/>
        <v>0.48999999999999994</v>
      </c>
      <c r="D58">
        <f t="shared" si="1"/>
        <v>-0.48999999999999994</v>
      </c>
      <c r="E58">
        <f t="shared" si="2"/>
        <v>-0.39199999999999996</v>
      </c>
      <c r="F58">
        <f t="shared" si="3"/>
        <v>-0.29399999999999993</v>
      </c>
      <c r="G58">
        <f t="shared" si="4"/>
        <v>-0.19599999999999998</v>
      </c>
      <c r="H58">
        <f t="shared" si="5"/>
        <v>-9.799999999999999E-2</v>
      </c>
      <c r="I58">
        <f t="shared" si="6"/>
        <v>0</v>
      </c>
      <c r="J58">
        <f t="shared" si="7"/>
        <v>9.799999999999999E-2</v>
      </c>
      <c r="K58">
        <f t="shared" si="8"/>
        <v>0.19599999999999998</v>
      </c>
      <c r="L58">
        <f t="shared" si="9"/>
        <v>0.29399999999999993</v>
      </c>
      <c r="M58">
        <f t="shared" si="10"/>
        <v>0.39199999999999996</v>
      </c>
      <c r="N58">
        <f t="shared" si="11"/>
        <v>0.48999999999999994</v>
      </c>
    </row>
    <row r="59" spans="1:14" x14ac:dyDescent="0.3">
      <c r="A59" s="8">
        <v>27</v>
      </c>
      <c r="B59" s="7">
        <f t="shared" si="12"/>
        <v>0.53777777777777769</v>
      </c>
      <c r="D59">
        <f t="shared" si="1"/>
        <v>-0.53777777777777769</v>
      </c>
      <c r="E59">
        <f t="shared" si="2"/>
        <v>-0.43022222222222217</v>
      </c>
      <c r="F59">
        <f t="shared" si="3"/>
        <v>-0.3226666666666666</v>
      </c>
      <c r="G59">
        <f t="shared" si="4"/>
        <v>-0.21511111111111109</v>
      </c>
      <c r="H59">
        <f t="shared" si="5"/>
        <v>-0.10755555555555554</v>
      </c>
      <c r="I59">
        <f t="shared" si="6"/>
        <v>0</v>
      </c>
      <c r="J59">
        <f t="shared" si="7"/>
        <v>0.10755555555555554</v>
      </c>
      <c r="K59">
        <f t="shared" si="8"/>
        <v>0.21511111111111109</v>
      </c>
      <c r="L59">
        <f t="shared" si="9"/>
        <v>0.3226666666666666</v>
      </c>
      <c r="M59">
        <f t="shared" si="10"/>
        <v>0.43022222222222217</v>
      </c>
      <c r="N59">
        <f t="shared" si="11"/>
        <v>0.53777777777777769</v>
      </c>
    </row>
    <row r="60" spans="1:14" x14ac:dyDescent="0.3">
      <c r="A60" s="8">
        <v>28</v>
      </c>
      <c r="B60" s="7">
        <f t="shared" si="12"/>
        <v>0.58777777777777784</v>
      </c>
      <c r="D60">
        <f t="shared" si="1"/>
        <v>-0.58777777777777784</v>
      </c>
      <c r="E60">
        <f t="shared" si="2"/>
        <v>-0.47022222222222232</v>
      </c>
      <c r="F60">
        <f t="shared" si="3"/>
        <v>-0.35266666666666668</v>
      </c>
      <c r="G60">
        <f t="shared" si="4"/>
        <v>-0.23511111111111116</v>
      </c>
      <c r="H60">
        <f t="shared" si="5"/>
        <v>-0.11755555555555558</v>
      </c>
      <c r="I60">
        <f t="shared" si="6"/>
        <v>0</v>
      </c>
      <c r="J60">
        <f t="shared" si="7"/>
        <v>0.11755555555555558</v>
      </c>
      <c r="K60">
        <f t="shared" si="8"/>
        <v>0.23511111111111116</v>
      </c>
      <c r="L60">
        <f t="shared" si="9"/>
        <v>0.35266666666666668</v>
      </c>
      <c r="M60">
        <f t="shared" si="10"/>
        <v>0.47022222222222232</v>
      </c>
      <c r="N60">
        <f t="shared" si="11"/>
        <v>0.58777777777777784</v>
      </c>
    </row>
    <row r="61" spans="1:14" x14ac:dyDescent="0.3">
      <c r="A61" s="8">
        <v>29</v>
      </c>
      <c r="B61" s="7">
        <f t="shared" si="12"/>
        <v>0.64000000000000012</v>
      </c>
      <c r="D61">
        <f t="shared" si="1"/>
        <v>-0.64000000000000012</v>
      </c>
      <c r="E61">
        <f t="shared" si="2"/>
        <v>-0.51200000000000012</v>
      </c>
      <c r="F61">
        <f t="shared" si="3"/>
        <v>-0.38400000000000006</v>
      </c>
      <c r="G61">
        <f t="shared" si="4"/>
        <v>-0.25600000000000006</v>
      </c>
      <c r="H61">
        <f t="shared" si="5"/>
        <v>-0.12800000000000003</v>
      </c>
      <c r="I61">
        <f t="shared" si="6"/>
        <v>0</v>
      </c>
      <c r="J61">
        <f t="shared" si="7"/>
        <v>0.12800000000000003</v>
      </c>
      <c r="K61">
        <f t="shared" si="8"/>
        <v>0.25600000000000006</v>
      </c>
      <c r="L61">
        <f t="shared" si="9"/>
        <v>0.38400000000000006</v>
      </c>
      <c r="M61">
        <f t="shared" si="10"/>
        <v>0.51200000000000012</v>
      </c>
      <c r="N61">
        <f t="shared" si="11"/>
        <v>0.64000000000000012</v>
      </c>
    </row>
    <row r="62" spans="1:14" x14ac:dyDescent="0.3">
      <c r="A62" s="8">
        <v>30</v>
      </c>
      <c r="B62" s="7">
        <f t="shared" si="12"/>
        <v>0.69444444444444453</v>
      </c>
      <c r="D62">
        <f t="shared" si="1"/>
        <v>-0.69444444444444453</v>
      </c>
      <c r="E62">
        <f t="shared" si="2"/>
        <v>-0.55555555555555569</v>
      </c>
      <c r="F62">
        <f t="shared" si="3"/>
        <v>-0.41666666666666669</v>
      </c>
      <c r="G62">
        <f t="shared" si="4"/>
        <v>-0.27777777777777785</v>
      </c>
      <c r="H62">
        <f t="shared" si="5"/>
        <v>-0.13888888888888892</v>
      </c>
      <c r="I62">
        <f t="shared" si="6"/>
        <v>0</v>
      </c>
      <c r="J62">
        <f t="shared" si="7"/>
        <v>0.13888888888888892</v>
      </c>
      <c r="K62">
        <f t="shared" si="8"/>
        <v>0.27777777777777785</v>
      </c>
      <c r="L62">
        <f t="shared" si="9"/>
        <v>0.41666666666666669</v>
      </c>
      <c r="M62">
        <f t="shared" si="10"/>
        <v>0.55555555555555569</v>
      </c>
      <c r="N62">
        <f t="shared" si="11"/>
        <v>0.69444444444444453</v>
      </c>
    </row>
    <row r="63" spans="1:14" x14ac:dyDescent="0.3">
      <c r="A63" s="8">
        <v>31</v>
      </c>
      <c r="B63" s="7">
        <f t="shared" si="12"/>
        <v>0.75111111111111117</v>
      </c>
      <c r="D63">
        <f t="shared" si="1"/>
        <v>-0.75111111111111117</v>
      </c>
      <c r="E63">
        <f t="shared" si="2"/>
        <v>-0.60088888888888903</v>
      </c>
      <c r="F63">
        <f t="shared" si="3"/>
        <v>-0.45066666666666666</v>
      </c>
      <c r="G63">
        <f t="shared" si="4"/>
        <v>-0.30044444444444451</v>
      </c>
      <c r="H63">
        <f t="shared" si="5"/>
        <v>-0.15022222222222226</v>
      </c>
      <c r="I63">
        <f t="shared" si="6"/>
        <v>0</v>
      </c>
      <c r="J63">
        <f t="shared" si="7"/>
        <v>0.15022222222222226</v>
      </c>
      <c r="K63">
        <f t="shared" si="8"/>
        <v>0.30044444444444451</v>
      </c>
      <c r="L63">
        <f t="shared" si="9"/>
        <v>0.45066666666666666</v>
      </c>
      <c r="M63">
        <f t="shared" si="10"/>
        <v>0.60088888888888903</v>
      </c>
      <c r="N63">
        <f t="shared" si="11"/>
        <v>0.75111111111111117</v>
      </c>
    </row>
    <row r="64" spans="1:14" x14ac:dyDescent="0.3">
      <c r="A64" s="8">
        <v>32</v>
      </c>
      <c r="B64" s="7">
        <f t="shared" si="12"/>
        <v>0.81</v>
      </c>
      <c r="D64">
        <f t="shared" si="1"/>
        <v>-0.81</v>
      </c>
      <c r="E64">
        <f t="shared" si="2"/>
        <v>-0.64800000000000013</v>
      </c>
      <c r="F64">
        <f t="shared" si="3"/>
        <v>-0.48599999999999999</v>
      </c>
      <c r="G64">
        <f t="shared" si="4"/>
        <v>-0.32400000000000007</v>
      </c>
      <c r="H64">
        <f t="shared" si="5"/>
        <v>-0.16200000000000003</v>
      </c>
      <c r="I64">
        <f t="shared" si="6"/>
        <v>0</v>
      </c>
      <c r="J64">
        <f t="shared" si="7"/>
        <v>0.16200000000000003</v>
      </c>
      <c r="K64">
        <f t="shared" si="8"/>
        <v>0.32400000000000007</v>
      </c>
      <c r="L64">
        <f t="shared" si="9"/>
        <v>0.48599999999999999</v>
      </c>
      <c r="M64">
        <f t="shared" si="10"/>
        <v>0.64800000000000013</v>
      </c>
      <c r="N64">
        <f t="shared" si="11"/>
        <v>0.81</v>
      </c>
    </row>
    <row r="65" spans="1:14" x14ac:dyDescent="0.3">
      <c r="A65" s="8">
        <v>33</v>
      </c>
      <c r="B65" s="7">
        <f t="shared" si="12"/>
        <v>0.87111111111111117</v>
      </c>
      <c r="D65">
        <f t="shared" si="1"/>
        <v>-0.87111111111111117</v>
      </c>
      <c r="E65">
        <f t="shared" si="2"/>
        <v>-0.696888888888889</v>
      </c>
      <c r="F65">
        <f t="shared" si="3"/>
        <v>-0.52266666666666672</v>
      </c>
      <c r="G65">
        <f t="shared" si="4"/>
        <v>-0.3484444444444445</v>
      </c>
      <c r="H65">
        <f t="shared" si="5"/>
        <v>-0.17422222222222225</v>
      </c>
      <c r="I65">
        <f t="shared" si="6"/>
        <v>0</v>
      </c>
      <c r="J65">
        <f t="shared" si="7"/>
        <v>0.17422222222222225</v>
      </c>
      <c r="K65">
        <f t="shared" si="8"/>
        <v>0.3484444444444445</v>
      </c>
      <c r="L65">
        <f t="shared" si="9"/>
        <v>0.52266666666666672</v>
      </c>
      <c r="M65">
        <f t="shared" si="10"/>
        <v>0.696888888888889</v>
      </c>
      <c r="N65">
        <f t="shared" si="11"/>
        <v>0.87111111111111117</v>
      </c>
    </row>
    <row r="66" spans="1:14" x14ac:dyDescent="0.3">
      <c r="A66" s="8">
        <v>34</v>
      </c>
      <c r="B66" s="7">
        <f t="shared" si="12"/>
        <v>0.93444444444444441</v>
      </c>
      <c r="D66">
        <f t="shared" si="1"/>
        <v>-0.93444444444444441</v>
      </c>
      <c r="E66">
        <f t="shared" si="2"/>
        <v>-0.74755555555555553</v>
      </c>
      <c r="F66">
        <f t="shared" si="3"/>
        <v>-0.56066666666666665</v>
      </c>
      <c r="G66">
        <f t="shared" si="4"/>
        <v>-0.37377777777777776</v>
      </c>
      <c r="H66">
        <f t="shared" si="5"/>
        <v>-0.18688888888888888</v>
      </c>
      <c r="I66">
        <f t="shared" si="6"/>
        <v>0</v>
      </c>
      <c r="J66">
        <f t="shared" si="7"/>
        <v>0.18688888888888888</v>
      </c>
      <c r="K66">
        <f t="shared" si="8"/>
        <v>0.37377777777777776</v>
      </c>
      <c r="L66">
        <f t="shared" si="9"/>
        <v>0.56066666666666665</v>
      </c>
      <c r="M66">
        <f t="shared" si="10"/>
        <v>0.74755555555555553</v>
      </c>
      <c r="N66">
        <f t="shared" si="11"/>
        <v>0.93444444444444441</v>
      </c>
    </row>
    <row r="67" spans="1:14" x14ac:dyDescent="0.3">
      <c r="A67" s="8">
        <v>35</v>
      </c>
      <c r="B67" s="7">
        <f t="shared" si="12"/>
        <v>1</v>
      </c>
      <c r="D67">
        <f t="shared" ref="D67:D82" si="13">(-10/10) * $B67</f>
        <v>-1</v>
      </c>
      <c r="E67">
        <f t="shared" ref="E67:E82" si="14">(-8/10) * $B67</f>
        <v>-0.8</v>
      </c>
      <c r="F67">
        <f t="shared" ref="F67:F82" si="15">(-6/10) * $B67</f>
        <v>-0.6</v>
      </c>
      <c r="G67">
        <f t="shared" ref="G67:G82" si="16">(-4/10) * $B67</f>
        <v>-0.4</v>
      </c>
      <c r="H67">
        <f t="shared" ref="H67:H82" si="17">(-2/10) * $B67</f>
        <v>-0.2</v>
      </c>
      <c r="I67">
        <f t="shared" ref="I67:I82" si="18">(0/10) * $B67</f>
        <v>0</v>
      </c>
      <c r="J67">
        <f t="shared" ref="J67:J82" si="19">(2/10) * $B67</f>
        <v>0.2</v>
      </c>
      <c r="K67">
        <f t="shared" ref="K67:K82" si="20">(4/10) * $B67</f>
        <v>0.4</v>
      </c>
      <c r="L67">
        <f t="shared" ref="L67:L82" si="21">(6/10) * $B67</f>
        <v>0.6</v>
      </c>
      <c r="M67">
        <f t="shared" ref="M67:M82" si="22">(8/10) * $B67</f>
        <v>0.8</v>
      </c>
      <c r="N67">
        <f t="shared" ref="N67:N82" si="23">(10/10) * $B67</f>
        <v>1</v>
      </c>
    </row>
    <row r="68" spans="1:14" x14ac:dyDescent="0.3">
      <c r="A68" s="8">
        <v>36</v>
      </c>
      <c r="B68" s="7">
        <f t="shared" si="12"/>
        <v>1.0677777777777779</v>
      </c>
      <c r="D68">
        <f t="shared" si="13"/>
        <v>-1.0677777777777779</v>
      </c>
      <c r="E68">
        <f t="shared" si="14"/>
        <v>-0.85422222222222244</v>
      </c>
      <c r="F68">
        <f t="shared" si="15"/>
        <v>-0.64066666666666672</v>
      </c>
      <c r="G68">
        <f t="shared" si="16"/>
        <v>-0.42711111111111122</v>
      </c>
      <c r="H68">
        <f t="shared" si="17"/>
        <v>-0.21355555555555561</v>
      </c>
      <c r="I68">
        <f t="shared" si="18"/>
        <v>0</v>
      </c>
      <c r="J68">
        <f t="shared" si="19"/>
        <v>0.21355555555555561</v>
      </c>
      <c r="K68">
        <f t="shared" si="20"/>
        <v>0.42711111111111122</v>
      </c>
      <c r="L68">
        <f t="shared" si="21"/>
        <v>0.64066666666666672</v>
      </c>
      <c r="M68">
        <f t="shared" si="22"/>
        <v>0.85422222222222244</v>
      </c>
      <c r="N68">
        <f t="shared" si="23"/>
        <v>1.0677777777777779</v>
      </c>
    </row>
    <row r="69" spans="1:14" x14ac:dyDescent="0.3">
      <c r="A69" s="8">
        <v>37</v>
      </c>
      <c r="B69" s="7">
        <f t="shared" si="12"/>
        <v>1.1377777777777778</v>
      </c>
      <c r="D69">
        <f t="shared" si="13"/>
        <v>-1.1377777777777778</v>
      </c>
      <c r="E69">
        <f t="shared" si="14"/>
        <v>-0.91022222222222227</v>
      </c>
      <c r="F69">
        <f t="shared" si="15"/>
        <v>-0.68266666666666664</v>
      </c>
      <c r="G69">
        <f t="shared" si="16"/>
        <v>-0.45511111111111113</v>
      </c>
      <c r="H69">
        <f t="shared" si="17"/>
        <v>-0.22755555555555557</v>
      </c>
      <c r="I69">
        <f t="shared" si="18"/>
        <v>0</v>
      </c>
      <c r="J69">
        <f t="shared" si="19"/>
        <v>0.22755555555555557</v>
      </c>
      <c r="K69">
        <f t="shared" si="20"/>
        <v>0.45511111111111113</v>
      </c>
      <c r="L69">
        <f t="shared" si="21"/>
        <v>0.68266666666666664</v>
      </c>
      <c r="M69">
        <f t="shared" si="22"/>
        <v>0.91022222222222227</v>
      </c>
      <c r="N69">
        <f t="shared" si="23"/>
        <v>1.1377777777777778</v>
      </c>
    </row>
    <row r="70" spans="1:14" x14ac:dyDescent="0.3">
      <c r="A70" s="8">
        <v>38</v>
      </c>
      <c r="B70" s="7">
        <f t="shared" si="12"/>
        <v>1.2100000000000002</v>
      </c>
      <c r="D70">
        <f t="shared" si="13"/>
        <v>-1.2100000000000002</v>
      </c>
      <c r="E70">
        <f t="shared" si="14"/>
        <v>-0.96800000000000019</v>
      </c>
      <c r="F70">
        <f t="shared" si="15"/>
        <v>-0.72600000000000009</v>
      </c>
      <c r="G70">
        <f t="shared" si="16"/>
        <v>-0.4840000000000001</v>
      </c>
      <c r="H70">
        <f t="shared" si="17"/>
        <v>-0.24200000000000005</v>
      </c>
      <c r="I70">
        <f t="shared" si="18"/>
        <v>0</v>
      </c>
      <c r="J70">
        <f t="shared" si="19"/>
        <v>0.24200000000000005</v>
      </c>
      <c r="K70">
        <f t="shared" si="20"/>
        <v>0.4840000000000001</v>
      </c>
      <c r="L70">
        <f t="shared" si="21"/>
        <v>0.72600000000000009</v>
      </c>
      <c r="M70">
        <f t="shared" si="22"/>
        <v>0.96800000000000019</v>
      </c>
      <c r="N70">
        <f t="shared" si="23"/>
        <v>1.2100000000000002</v>
      </c>
    </row>
    <row r="71" spans="1:14" x14ac:dyDescent="0.3">
      <c r="A71" s="8">
        <v>39</v>
      </c>
      <c r="B71" s="7">
        <f t="shared" si="12"/>
        <v>1.2844444444444443</v>
      </c>
      <c r="D71">
        <f t="shared" si="13"/>
        <v>-1.2844444444444443</v>
      </c>
      <c r="E71">
        <f t="shared" si="14"/>
        <v>-1.0275555555555556</v>
      </c>
      <c r="F71">
        <f t="shared" si="15"/>
        <v>-0.7706666666666665</v>
      </c>
      <c r="G71">
        <f t="shared" si="16"/>
        <v>-0.51377777777777778</v>
      </c>
      <c r="H71">
        <f t="shared" si="17"/>
        <v>-0.25688888888888889</v>
      </c>
      <c r="I71">
        <f t="shared" si="18"/>
        <v>0</v>
      </c>
      <c r="J71">
        <f t="shared" si="19"/>
        <v>0.25688888888888889</v>
      </c>
      <c r="K71">
        <f t="shared" si="20"/>
        <v>0.51377777777777778</v>
      </c>
      <c r="L71">
        <f t="shared" si="21"/>
        <v>0.7706666666666665</v>
      </c>
      <c r="M71">
        <f t="shared" si="22"/>
        <v>1.0275555555555556</v>
      </c>
      <c r="N71">
        <f t="shared" si="23"/>
        <v>1.2844444444444443</v>
      </c>
    </row>
    <row r="72" spans="1:14" x14ac:dyDescent="0.3">
      <c r="A72" s="8">
        <v>40</v>
      </c>
      <c r="B72" s="7">
        <f t="shared" si="12"/>
        <v>1.3611111111111114</v>
      </c>
      <c r="D72">
        <f t="shared" si="13"/>
        <v>-1.3611111111111114</v>
      </c>
      <c r="E72">
        <f t="shared" si="14"/>
        <v>-1.0888888888888892</v>
      </c>
      <c r="F72">
        <f t="shared" si="15"/>
        <v>-0.81666666666666676</v>
      </c>
      <c r="G72">
        <f t="shared" si="16"/>
        <v>-0.54444444444444462</v>
      </c>
      <c r="H72">
        <f t="shared" si="17"/>
        <v>-0.27222222222222231</v>
      </c>
      <c r="I72">
        <f t="shared" si="18"/>
        <v>0</v>
      </c>
      <c r="J72">
        <f t="shared" si="19"/>
        <v>0.27222222222222231</v>
      </c>
      <c r="K72">
        <f t="shared" si="20"/>
        <v>0.54444444444444462</v>
      </c>
      <c r="L72">
        <f t="shared" si="21"/>
        <v>0.81666666666666676</v>
      </c>
      <c r="M72">
        <f t="shared" si="22"/>
        <v>1.0888888888888892</v>
      </c>
      <c r="N72">
        <f t="shared" si="23"/>
        <v>1.3611111111111114</v>
      </c>
    </row>
    <row r="73" spans="1:14" x14ac:dyDescent="0.3">
      <c r="A73" s="8">
        <v>41</v>
      </c>
      <c r="B73" s="7">
        <f t="shared" si="12"/>
        <v>1.44</v>
      </c>
      <c r="D73">
        <f t="shared" si="13"/>
        <v>-1.44</v>
      </c>
      <c r="E73">
        <f t="shared" si="14"/>
        <v>-1.1519999999999999</v>
      </c>
      <c r="F73">
        <f t="shared" si="15"/>
        <v>-0.86399999999999999</v>
      </c>
      <c r="G73">
        <f t="shared" si="16"/>
        <v>-0.57599999999999996</v>
      </c>
      <c r="H73">
        <f t="shared" si="17"/>
        <v>-0.28799999999999998</v>
      </c>
      <c r="I73">
        <f t="shared" si="18"/>
        <v>0</v>
      </c>
      <c r="J73">
        <f t="shared" si="19"/>
        <v>0.28799999999999998</v>
      </c>
      <c r="K73">
        <f t="shared" si="20"/>
        <v>0.57599999999999996</v>
      </c>
      <c r="L73">
        <f t="shared" si="21"/>
        <v>0.86399999999999999</v>
      </c>
      <c r="M73">
        <f t="shared" si="22"/>
        <v>1.1519999999999999</v>
      </c>
      <c r="N73">
        <f t="shared" si="23"/>
        <v>1.44</v>
      </c>
    </row>
    <row r="74" spans="1:14" x14ac:dyDescent="0.3">
      <c r="A74" s="8">
        <v>42</v>
      </c>
      <c r="B74" s="7">
        <f t="shared" si="12"/>
        <v>1.5211111111111113</v>
      </c>
      <c r="D74">
        <f t="shared" si="13"/>
        <v>-1.5211111111111113</v>
      </c>
      <c r="E74">
        <f t="shared" si="14"/>
        <v>-1.2168888888888891</v>
      </c>
      <c r="F74">
        <f t="shared" si="15"/>
        <v>-0.91266666666666674</v>
      </c>
      <c r="G74">
        <f t="shared" si="16"/>
        <v>-0.60844444444444457</v>
      </c>
      <c r="H74">
        <f t="shared" si="17"/>
        <v>-0.30422222222222228</v>
      </c>
      <c r="I74">
        <f t="shared" si="18"/>
        <v>0</v>
      </c>
      <c r="J74">
        <f t="shared" si="19"/>
        <v>0.30422222222222228</v>
      </c>
      <c r="K74">
        <f t="shared" si="20"/>
        <v>0.60844444444444457</v>
      </c>
      <c r="L74">
        <f t="shared" si="21"/>
        <v>0.91266666666666674</v>
      </c>
      <c r="M74">
        <f t="shared" si="22"/>
        <v>1.2168888888888891</v>
      </c>
      <c r="N74">
        <f t="shared" si="23"/>
        <v>1.5211111111111113</v>
      </c>
    </row>
    <row r="75" spans="1:14" x14ac:dyDescent="0.3">
      <c r="A75" s="8">
        <v>43</v>
      </c>
      <c r="B75" s="7">
        <f t="shared" si="12"/>
        <v>1.6044444444444443</v>
      </c>
      <c r="D75">
        <f t="shared" si="13"/>
        <v>-1.6044444444444443</v>
      </c>
      <c r="E75">
        <f t="shared" si="14"/>
        <v>-1.2835555555555556</v>
      </c>
      <c r="F75">
        <f t="shared" si="15"/>
        <v>-0.96266666666666656</v>
      </c>
      <c r="G75">
        <f t="shared" si="16"/>
        <v>-0.64177777777777778</v>
      </c>
      <c r="H75">
        <f t="shared" si="17"/>
        <v>-0.32088888888888889</v>
      </c>
      <c r="I75">
        <f t="shared" si="18"/>
        <v>0</v>
      </c>
      <c r="J75">
        <f t="shared" si="19"/>
        <v>0.32088888888888889</v>
      </c>
      <c r="K75">
        <f t="shared" si="20"/>
        <v>0.64177777777777778</v>
      </c>
      <c r="L75">
        <f t="shared" si="21"/>
        <v>0.96266666666666656</v>
      </c>
      <c r="M75">
        <f t="shared" si="22"/>
        <v>1.2835555555555556</v>
      </c>
      <c r="N75">
        <f t="shared" si="23"/>
        <v>1.6044444444444443</v>
      </c>
    </row>
    <row r="76" spans="1:14" x14ac:dyDescent="0.3">
      <c r="A76" s="8">
        <v>44</v>
      </c>
      <c r="B76" s="7">
        <f t="shared" si="12"/>
        <v>1.6900000000000002</v>
      </c>
      <c r="D76">
        <f t="shared" si="13"/>
        <v>-1.6900000000000002</v>
      </c>
      <c r="E76">
        <f t="shared" si="14"/>
        <v>-1.3520000000000003</v>
      </c>
      <c r="F76">
        <f t="shared" si="15"/>
        <v>-1.014</v>
      </c>
      <c r="G76">
        <f t="shared" si="16"/>
        <v>-0.67600000000000016</v>
      </c>
      <c r="H76">
        <f t="shared" si="17"/>
        <v>-0.33800000000000008</v>
      </c>
      <c r="I76">
        <f t="shared" si="18"/>
        <v>0</v>
      </c>
      <c r="J76">
        <f t="shared" si="19"/>
        <v>0.33800000000000008</v>
      </c>
      <c r="K76">
        <f t="shared" si="20"/>
        <v>0.67600000000000016</v>
      </c>
      <c r="L76">
        <f t="shared" si="21"/>
        <v>1.014</v>
      </c>
      <c r="M76">
        <f t="shared" si="22"/>
        <v>1.3520000000000003</v>
      </c>
      <c r="N76">
        <f t="shared" si="23"/>
        <v>1.6900000000000002</v>
      </c>
    </row>
    <row r="77" spans="1:14" x14ac:dyDescent="0.3">
      <c r="A77" s="8">
        <v>45</v>
      </c>
      <c r="B77" s="7">
        <f t="shared" si="12"/>
        <v>1.7777777777777777</v>
      </c>
      <c r="D77">
        <f t="shared" si="13"/>
        <v>-1.7777777777777777</v>
      </c>
      <c r="E77">
        <f t="shared" si="14"/>
        <v>-1.4222222222222223</v>
      </c>
      <c r="F77">
        <f t="shared" si="15"/>
        <v>-1.0666666666666667</v>
      </c>
      <c r="G77">
        <f t="shared" si="16"/>
        <v>-0.71111111111111114</v>
      </c>
      <c r="H77">
        <f t="shared" si="17"/>
        <v>-0.35555555555555557</v>
      </c>
      <c r="I77">
        <f t="shared" si="18"/>
        <v>0</v>
      </c>
      <c r="J77">
        <f t="shared" si="19"/>
        <v>0.35555555555555557</v>
      </c>
      <c r="K77">
        <f t="shared" si="20"/>
        <v>0.71111111111111114</v>
      </c>
      <c r="L77">
        <f t="shared" si="21"/>
        <v>1.0666666666666667</v>
      </c>
      <c r="M77">
        <f t="shared" si="22"/>
        <v>1.4222222222222223</v>
      </c>
      <c r="N77">
        <f t="shared" si="23"/>
        <v>1.7777777777777777</v>
      </c>
    </row>
    <row r="78" spans="1:14" x14ac:dyDescent="0.3">
      <c r="A78" s="8">
        <v>46</v>
      </c>
      <c r="B78" s="7">
        <f t="shared" si="12"/>
        <v>1.8677777777777778</v>
      </c>
      <c r="D78">
        <f t="shared" si="13"/>
        <v>-1.8677777777777778</v>
      </c>
      <c r="E78">
        <f t="shared" si="14"/>
        <v>-1.4942222222222223</v>
      </c>
      <c r="F78">
        <f t="shared" si="15"/>
        <v>-1.1206666666666667</v>
      </c>
      <c r="G78">
        <f t="shared" si="16"/>
        <v>-0.74711111111111117</v>
      </c>
      <c r="H78">
        <f t="shared" si="17"/>
        <v>-0.37355555555555559</v>
      </c>
      <c r="I78">
        <f t="shared" si="18"/>
        <v>0</v>
      </c>
      <c r="J78">
        <f t="shared" si="19"/>
        <v>0.37355555555555559</v>
      </c>
      <c r="K78">
        <f t="shared" si="20"/>
        <v>0.74711111111111117</v>
      </c>
      <c r="L78">
        <f t="shared" si="21"/>
        <v>1.1206666666666667</v>
      </c>
      <c r="M78">
        <f t="shared" si="22"/>
        <v>1.4942222222222223</v>
      </c>
      <c r="N78">
        <f t="shared" si="23"/>
        <v>1.8677777777777778</v>
      </c>
    </row>
    <row r="79" spans="1:14" x14ac:dyDescent="0.3">
      <c r="A79" s="8">
        <v>47</v>
      </c>
      <c r="B79" s="7">
        <f t="shared" si="12"/>
        <v>1.9599999999999997</v>
      </c>
      <c r="D79">
        <f t="shared" si="13"/>
        <v>-1.9599999999999997</v>
      </c>
      <c r="E79">
        <f t="shared" si="14"/>
        <v>-1.5679999999999998</v>
      </c>
      <c r="F79">
        <f t="shared" si="15"/>
        <v>-1.1759999999999997</v>
      </c>
      <c r="G79">
        <f t="shared" si="16"/>
        <v>-0.78399999999999992</v>
      </c>
      <c r="H79">
        <f t="shared" si="17"/>
        <v>-0.39199999999999996</v>
      </c>
      <c r="I79">
        <f t="shared" si="18"/>
        <v>0</v>
      </c>
      <c r="J79">
        <f t="shared" si="19"/>
        <v>0.39199999999999996</v>
      </c>
      <c r="K79">
        <f t="shared" si="20"/>
        <v>0.78399999999999992</v>
      </c>
      <c r="L79">
        <f t="shared" si="21"/>
        <v>1.1759999999999997</v>
      </c>
      <c r="M79">
        <f t="shared" si="22"/>
        <v>1.5679999999999998</v>
      </c>
      <c r="N79">
        <f t="shared" si="23"/>
        <v>1.9599999999999997</v>
      </c>
    </row>
    <row r="80" spans="1:14" x14ac:dyDescent="0.3">
      <c r="A80" s="8">
        <v>48</v>
      </c>
      <c r="B80" s="7">
        <f t="shared" si="12"/>
        <v>2.0544444444444445</v>
      </c>
      <c r="D80">
        <f t="shared" si="13"/>
        <v>-2.0544444444444445</v>
      </c>
      <c r="E80">
        <f t="shared" si="14"/>
        <v>-1.6435555555555557</v>
      </c>
      <c r="F80">
        <f t="shared" si="15"/>
        <v>-1.2326666666666666</v>
      </c>
      <c r="G80">
        <f t="shared" si="16"/>
        <v>-0.82177777777777783</v>
      </c>
      <c r="H80">
        <f t="shared" si="17"/>
        <v>-0.41088888888888891</v>
      </c>
      <c r="I80">
        <f t="shared" si="18"/>
        <v>0</v>
      </c>
      <c r="J80">
        <f t="shared" si="19"/>
        <v>0.41088888888888891</v>
      </c>
      <c r="K80">
        <f t="shared" si="20"/>
        <v>0.82177777777777783</v>
      </c>
      <c r="L80">
        <f t="shared" si="21"/>
        <v>1.2326666666666666</v>
      </c>
      <c r="M80">
        <f t="shared" si="22"/>
        <v>1.6435555555555557</v>
      </c>
      <c r="N80">
        <f t="shared" si="23"/>
        <v>2.0544444444444445</v>
      </c>
    </row>
    <row r="81" spans="1:14" x14ac:dyDescent="0.3">
      <c r="A81" s="8">
        <v>49</v>
      </c>
      <c r="B81" s="7">
        <f t="shared" si="12"/>
        <v>2.1511111111111108</v>
      </c>
      <c r="D81">
        <f t="shared" si="13"/>
        <v>-2.1511111111111108</v>
      </c>
      <c r="E81">
        <f t="shared" si="14"/>
        <v>-1.7208888888888887</v>
      </c>
      <c r="F81">
        <f t="shared" si="15"/>
        <v>-1.2906666666666664</v>
      </c>
      <c r="G81">
        <f t="shared" si="16"/>
        <v>-0.86044444444444435</v>
      </c>
      <c r="H81">
        <f t="shared" si="17"/>
        <v>-0.43022222222222217</v>
      </c>
      <c r="I81">
        <f t="shared" si="18"/>
        <v>0</v>
      </c>
      <c r="J81">
        <f t="shared" si="19"/>
        <v>0.43022222222222217</v>
      </c>
      <c r="K81">
        <f t="shared" si="20"/>
        <v>0.86044444444444435</v>
      </c>
      <c r="L81">
        <f t="shared" si="21"/>
        <v>1.2906666666666664</v>
      </c>
      <c r="M81">
        <f t="shared" si="22"/>
        <v>1.7208888888888887</v>
      </c>
      <c r="N81">
        <f t="shared" si="23"/>
        <v>2.1511111111111108</v>
      </c>
    </row>
    <row r="82" spans="1:14" x14ac:dyDescent="0.3">
      <c r="A82" s="8">
        <v>50</v>
      </c>
      <c r="B82" s="7">
        <f t="shared" si="12"/>
        <v>2.25</v>
      </c>
      <c r="D82">
        <f t="shared" si="13"/>
        <v>-2.25</v>
      </c>
      <c r="E82">
        <f t="shared" si="14"/>
        <v>-1.8</v>
      </c>
      <c r="F82">
        <f t="shared" si="15"/>
        <v>-1.3499999999999999</v>
      </c>
      <c r="G82">
        <f t="shared" si="16"/>
        <v>-0.9</v>
      </c>
      <c r="H82">
        <f t="shared" si="17"/>
        <v>-0.45</v>
      </c>
      <c r="I82">
        <f t="shared" si="18"/>
        <v>0</v>
      </c>
      <c r="J82">
        <f t="shared" si="19"/>
        <v>0.45</v>
      </c>
      <c r="K82">
        <f t="shared" si="20"/>
        <v>0.9</v>
      </c>
      <c r="L82">
        <f t="shared" si="21"/>
        <v>1.3499999999999999</v>
      </c>
      <c r="M82">
        <f t="shared" si="22"/>
        <v>1.8</v>
      </c>
      <c r="N82">
        <f t="shared" si="23"/>
        <v>2.25</v>
      </c>
    </row>
    <row r="83" spans="1:14" x14ac:dyDescent="0.3">
      <c r="B83" s="7"/>
    </row>
    <row r="84" spans="1:14" x14ac:dyDescent="0.3">
      <c r="B84" s="7"/>
    </row>
    <row r="85" spans="1:14" x14ac:dyDescent="0.3">
      <c r="B85" s="7"/>
    </row>
    <row r="86" spans="1:14" x14ac:dyDescent="0.3">
      <c r="B86" s="7"/>
    </row>
    <row r="87" spans="1:14" x14ac:dyDescent="0.3">
      <c r="B87" s="7"/>
    </row>
    <row r="88" spans="1:14" x14ac:dyDescent="0.3">
      <c r="B88" s="7"/>
    </row>
    <row r="89" spans="1:14" x14ac:dyDescent="0.3">
      <c r="B89" s="7"/>
    </row>
    <row r="90" spans="1:14" x14ac:dyDescent="0.3">
      <c r="B90" s="7"/>
    </row>
    <row r="91" spans="1:14" x14ac:dyDescent="0.3">
      <c r="B91" s="7"/>
    </row>
    <row r="92" spans="1:14" x14ac:dyDescent="0.3">
      <c r="B92" s="7"/>
    </row>
    <row r="93" spans="1:14" x14ac:dyDescent="0.3">
      <c r="B93" s="7"/>
    </row>
    <row r="94" spans="1:14" x14ac:dyDescent="0.3">
      <c r="B94" s="7"/>
    </row>
    <row r="95" spans="1:14" x14ac:dyDescent="0.3">
      <c r="B95" s="7"/>
    </row>
    <row r="96" spans="1:14" x14ac:dyDescent="0.3">
      <c r="B96" s="7"/>
    </row>
    <row r="97" spans="2:2" x14ac:dyDescent="0.3">
      <c r="B97" s="7"/>
    </row>
    <row r="98" spans="2:2" x14ac:dyDescent="0.3">
      <c r="B98" s="7"/>
    </row>
    <row r="99" spans="2:2" x14ac:dyDescent="0.3">
      <c r="B99" s="7"/>
    </row>
    <row r="100" spans="2:2" x14ac:dyDescent="0.3">
      <c r="B100" s="7"/>
    </row>
    <row r="101" spans="2:2" x14ac:dyDescent="0.3">
      <c r="B101" s="7"/>
    </row>
    <row r="102" spans="2:2" x14ac:dyDescent="0.3">
      <c r="B102" s="7"/>
    </row>
    <row r="103" spans="2:2" x14ac:dyDescent="0.3">
      <c r="B103" s="7"/>
    </row>
    <row r="104" spans="2:2" x14ac:dyDescent="0.3">
      <c r="B104" s="7"/>
    </row>
    <row r="105" spans="2:2" x14ac:dyDescent="0.3">
      <c r="B105" s="7"/>
    </row>
    <row r="106" spans="2:2" x14ac:dyDescent="0.3">
      <c r="B106" s="7"/>
    </row>
    <row r="107" spans="2:2" x14ac:dyDescent="0.3">
      <c r="B107" s="7"/>
    </row>
    <row r="108" spans="2:2" x14ac:dyDescent="0.3">
      <c r="B108" s="7"/>
    </row>
    <row r="109" spans="2:2" x14ac:dyDescent="0.3">
      <c r="B109" s="7"/>
    </row>
    <row r="110" spans="2:2" x14ac:dyDescent="0.3">
      <c r="B110" s="7"/>
    </row>
    <row r="111" spans="2:2" x14ac:dyDescent="0.3">
      <c r="B111" s="7"/>
    </row>
    <row r="112" spans="2:2" x14ac:dyDescent="0.3">
      <c r="B112" s="7"/>
    </row>
    <row r="113" spans="2:2" x14ac:dyDescent="0.3">
      <c r="B113" s="7"/>
    </row>
    <row r="114" spans="2:2" x14ac:dyDescent="0.3">
      <c r="B114" s="7"/>
    </row>
    <row r="115" spans="2:2" x14ac:dyDescent="0.3">
      <c r="B115" s="7"/>
    </row>
    <row r="116" spans="2:2" x14ac:dyDescent="0.3">
      <c r="B116" s="7"/>
    </row>
    <row r="117" spans="2:2" x14ac:dyDescent="0.3">
      <c r="B117" s="7"/>
    </row>
    <row r="118" spans="2:2" x14ac:dyDescent="0.3">
      <c r="B118" s="7"/>
    </row>
    <row r="119" spans="2:2" x14ac:dyDescent="0.3">
      <c r="B119" s="7"/>
    </row>
    <row r="120" spans="2:2" x14ac:dyDescent="0.3">
      <c r="B120" s="7"/>
    </row>
    <row r="121" spans="2:2" x14ac:dyDescent="0.3">
      <c r="B121" s="7"/>
    </row>
    <row r="122" spans="2:2" x14ac:dyDescent="0.3">
      <c r="B122" s="7"/>
    </row>
    <row r="123" spans="2:2" x14ac:dyDescent="0.3">
      <c r="B123" s="7"/>
    </row>
    <row r="124" spans="2:2" x14ac:dyDescent="0.3">
      <c r="B124" s="7"/>
    </row>
    <row r="125" spans="2:2" x14ac:dyDescent="0.3">
      <c r="B125" s="7"/>
    </row>
    <row r="126" spans="2:2" x14ac:dyDescent="0.3">
      <c r="B126" s="7"/>
    </row>
    <row r="127" spans="2:2" x14ac:dyDescent="0.3">
      <c r="B127" s="7"/>
    </row>
    <row r="128" spans="2:2" x14ac:dyDescent="0.3">
      <c r="B128" s="7"/>
    </row>
    <row r="129" spans="2:2" x14ac:dyDescent="0.3">
      <c r="B129" s="7"/>
    </row>
    <row r="130" spans="2:2" x14ac:dyDescent="0.3">
      <c r="B130" s="7"/>
    </row>
    <row r="131" spans="2:2" x14ac:dyDescent="0.3">
      <c r="B131" s="7"/>
    </row>
    <row r="132" spans="2:2" x14ac:dyDescent="0.3">
      <c r="B132" s="7"/>
    </row>
    <row r="133" spans="2:2" x14ac:dyDescent="0.3">
      <c r="B133" s="7"/>
    </row>
    <row r="134" spans="2:2" x14ac:dyDescent="0.3">
      <c r="B134" s="7"/>
    </row>
    <row r="135" spans="2:2" x14ac:dyDescent="0.3">
      <c r="B135" s="7"/>
    </row>
    <row r="136" spans="2:2" x14ac:dyDescent="0.3">
      <c r="B136" s="7"/>
    </row>
    <row r="137" spans="2:2" x14ac:dyDescent="0.3">
      <c r="B137" s="7"/>
    </row>
    <row r="138" spans="2:2" x14ac:dyDescent="0.3">
      <c r="B138" s="7"/>
    </row>
    <row r="139" spans="2:2" x14ac:dyDescent="0.3">
      <c r="B139" s="7"/>
    </row>
    <row r="140" spans="2:2" x14ac:dyDescent="0.3">
      <c r="B140" s="7"/>
    </row>
    <row r="141" spans="2:2" x14ac:dyDescent="0.3">
      <c r="B141" s="7"/>
    </row>
    <row r="142" spans="2:2" x14ac:dyDescent="0.3">
      <c r="B142" s="7"/>
    </row>
    <row r="143" spans="2:2" x14ac:dyDescent="0.3">
      <c r="B143" s="7"/>
    </row>
    <row r="144" spans="2:2" x14ac:dyDescent="0.3">
      <c r="B144" s="7"/>
    </row>
    <row r="145" spans="2:2" x14ac:dyDescent="0.3">
      <c r="B145" s="7"/>
    </row>
    <row r="146" spans="2:2" x14ac:dyDescent="0.3">
      <c r="B146" s="7"/>
    </row>
    <row r="147" spans="2:2" x14ac:dyDescent="0.3">
      <c r="B147" s="7"/>
    </row>
    <row r="148" spans="2:2" x14ac:dyDescent="0.3">
      <c r="B148" s="7"/>
    </row>
    <row r="149" spans="2:2" x14ac:dyDescent="0.3">
      <c r="B149" s="7"/>
    </row>
    <row r="150" spans="2:2" x14ac:dyDescent="0.3">
      <c r="B150" s="7"/>
    </row>
    <row r="151" spans="2:2" x14ac:dyDescent="0.3">
      <c r="B151" s="7"/>
    </row>
    <row r="152" spans="2:2" x14ac:dyDescent="0.3">
      <c r="B152" s="7"/>
    </row>
    <row r="153" spans="2:2" x14ac:dyDescent="0.3">
      <c r="B153" s="7"/>
    </row>
    <row r="154" spans="2:2" x14ac:dyDescent="0.3">
      <c r="B154" s="7"/>
    </row>
    <row r="155" spans="2:2" x14ac:dyDescent="0.3">
      <c r="B155" s="7"/>
    </row>
    <row r="156" spans="2:2" x14ac:dyDescent="0.3">
      <c r="B156" s="7"/>
    </row>
    <row r="157" spans="2:2" x14ac:dyDescent="0.3">
      <c r="B157" s="7"/>
    </row>
    <row r="158" spans="2:2" x14ac:dyDescent="0.3">
      <c r="B158" s="7"/>
    </row>
    <row r="159" spans="2:2" x14ac:dyDescent="0.3">
      <c r="B159" s="7"/>
    </row>
    <row r="160" spans="2:2" x14ac:dyDescent="0.3">
      <c r="B160" s="7"/>
    </row>
    <row r="161" spans="2:2" x14ac:dyDescent="0.3">
      <c r="B161" s="7"/>
    </row>
    <row r="162" spans="2:2" x14ac:dyDescent="0.3">
      <c r="B162" s="7"/>
    </row>
    <row r="163" spans="2:2" x14ac:dyDescent="0.3">
      <c r="B163" s="7"/>
    </row>
    <row r="164" spans="2:2" x14ac:dyDescent="0.3">
      <c r="B164" s="7"/>
    </row>
    <row r="165" spans="2:2" x14ac:dyDescent="0.3">
      <c r="B165" s="7"/>
    </row>
    <row r="166" spans="2:2" x14ac:dyDescent="0.3">
      <c r="B166" s="7"/>
    </row>
    <row r="167" spans="2:2" x14ac:dyDescent="0.3">
      <c r="B167" s="7"/>
    </row>
    <row r="168" spans="2:2" x14ac:dyDescent="0.3">
      <c r="B168" s="7"/>
    </row>
    <row r="169" spans="2:2" x14ac:dyDescent="0.3">
      <c r="B169" s="7"/>
    </row>
    <row r="170" spans="2:2" x14ac:dyDescent="0.3">
      <c r="B170" s="7"/>
    </row>
    <row r="171" spans="2:2" x14ac:dyDescent="0.3">
      <c r="B171" s="7"/>
    </row>
    <row r="172" spans="2:2" x14ac:dyDescent="0.3">
      <c r="B172" s="7"/>
    </row>
    <row r="173" spans="2:2" x14ac:dyDescent="0.3">
      <c r="B173" s="7"/>
    </row>
    <row r="174" spans="2:2" x14ac:dyDescent="0.3">
      <c r="B174" s="7"/>
    </row>
    <row r="175" spans="2:2" x14ac:dyDescent="0.3">
      <c r="B175" s="7"/>
    </row>
    <row r="176" spans="2:2" x14ac:dyDescent="0.3">
      <c r="B176" s="7"/>
    </row>
    <row r="177" spans="2:2" x14ac:dyDescent="0.3">
      <c r="B177" s="7"/>
    </row>
    <row r="178" spans="2:2" x14ac:dyDescent="0.3">
      <c r="B178" s="7"/>
    </row>
    <row r="179" spans="2:2" x14ac:dyDescent="0.3">
      <c r="B179" s="7"/>
    </row>
    <row r="180" spans="2:2" x14ac:dyDescent="0.3">
      <c r="B180" s="7"/>
    </row>
    <row r="181" spans="2:2" x14ac:dyDescent="0.3">
      <c r="B181" s="7"/>
    </row>
    <row r="182" spans="2:2" x14ac:dyDescent="0.3">
      <c r="B182" s="7"/>
    </row>
    <row r="183" spans="2:2" x14ac:dyDescent="0.3">
      <c r="B183" s="7"/>
    </row>
    <row r="184" spans="2:2" x14ac:dyDescent="0.3">
      <c r="B184" s="7"/>
    </row>
    <row r="185" spans="2:2" x14ac:dyDescent="0.3">
      <c r="B185" s="7"/>
    </row>
    <row r="186" spans="2:2" x14ac:dyDescent="0.3">
      <c r="B186" s="7"/>
    </row>
    <row r="187" spans="2:2" x14ac:dyDescent="0.3">
      <c r="B187" s="7"/>
    </row>
    <row r="188" spans="2:2" x14ac:dyDescent="0.3">
      <c r="B188" s="7"/>
    </row>
    <row r="189" spans="2:2" x14ac:dyDescent="0.3">
      <c r="B189" s="7"/>
    </row>
    <row r="190" spans="2:2" x14ac:dyDescent="0.3">
      <c r="B190" s="7"/>
    </row>
    <row r="191" spans="2:2" x14ac:dyDescent="0.3">
      <c r="B191" s="7"/>
    </row>
    <row r="192" spans="2:2" x14ac:dyDescent="0.3">
      <c r="B192" s="7"/>
    </row>
    <row r="193" spans="2:2" x14ac:dyDescent="0.3">
      <c r="B193" s="7"/>
    </row>
    <row r="194" spans="2:2" x14ac:dyDescent="0.3">
      <c r="B194" s="7"/>
    </row>
    <row r="195" spans="2:2" x14ac:dyDescent="0.3">
      <c r="B195" s="7"/>
    </row>
    <row r="196" spans="2:2" x14ac:dyDescent="0.3">
      <c r="B196" s="7"/>
    </row>
    <row r="197" spans="2:2" x14ac:dyDescent="0.3">
      <c r="B197" s="7"/>
    </row>
    <row r="198" spans="2:2" x14ac:dyDescent="0.3">
      <c r="B198" s="7"/>
    </row>
    <row r="199" spans="2:2" x14ac:dyDescent="0.3">
      <c r="B199" s="7"/>
    </row>
    <row r="200" spans="2:2" x14ac:dyDescent="0.3">
      <c r="B200" s="7"/>
    </row>
    <row r="201" spans="2:2" x14ac:dyDescent="0.3">
      <c r="B201" s="7"/>
    </row>
    <row r="202" spans="2:2" x14ac:dyDescent="0.3">
      <c r="B202" s="7"/>
    </row>
    <row r="203" spans="2:2" x14ac:dyDescent="0.3">
      <c r="B203" s="7"/>
    </row>
    <row r="204" spans="2:2" x14ac:dyDescent="0.3">
      <c r="B204" s="7"/>
    </row>
    <row r="205" spans="2:2" x14ac:dyDescent="0.3">
      <c r="B205" s="7"/>
    </row>
    <row r="206" spans="2:2" x14ac:dyDescent="0.3">
      <c r="B206" s="7"/>
    </row>
    <row r="207" spans="2:2" x14ac:dyDescent="0.3">
      <c r="B207" s="7"/>
    </row>
    <row r="208" spans="2:2" x14ac:dyDescent="0.3">
      <c r="B208" s="7"/>
    </row>
    <row r="209" spans="2:2" x14ac:dyDescent="0.3">
      <c r="B209" s="7"/>
    </row>
    <row r="210" spans="2:2" x14ac:dyDescent="0.3">
      <c r="B210" s="7"/>
    </row>
    <row r="211" spans="2:2" x14ac:dyDescent="0.3">
      <c r="B211" s="7"/>
    </row>
    <row r="212" spans="2:2" x14ac:dyDescent="0.3">
      <c r="B212" s="7"/>
    </row>
    <row r="213" spans="2:2" x14ac:dyDescent="0.3">
      <c r="B213" s="7"/>
    </row>
    <row r="214" spans="2:2" x14ac:dyDescent="0.3">
      <c r="B214" s="7"/>
    </row>
    <row r="215" spans="2:2" x14ac:dyDescent="0.3">
      <c r="B215" s="7"/>
    </row>
    <row r="216" spans="2:2" x14ac:dyDescent="0.3">
      <c r="B216" s="7"/>
    </row>
    <row r="217" spans="2:2" x14ac:dyDescent="0.3">
      <c r="B217" s="7"/>
    </row>
    <row r="218" spans="2:2" x14ac:dyDescent="0.3">
      <c r="B218" s="7"/>
    </row>
    <row r="219" spans="2:2" x14ac:dyDescent="0.3">
      <c r="B219" s="7"/>
    </row>
    <row r="220" spans="2:2" x14ac:dyDescent="0.3">
      <c r="B220" s="7"/>
    </row>
    <row r="221" spans="2:2" x14ac:dyDescent="0.3">
      <c r="B221" s="7"/>
    </row>
    <row r="222" spans="2:2" x14ac:dyDescent="0.3">
      <c r="B222" s="7"/>
    </row>
    <row r="223" spans="2:2" x14ac:dyDescent="0.3">
      <c r="B223" s="7"/>
    </row>
    <row r="224" spans="2:2" x14ac:dyDescent="0.3">
      <c r="B224" s="7"/>
    </row>
    <row r="225" spans="2:2" x14ac:dyDescent="0.3">
      <c r="B225" s="7"/>
    </row>
    <row r="226" spans="2:2" x14ac:dyDescent="0.3">
      <c r="B226" s="7"/>
    </row>
    <row r="227" spans="2:2" x14ac:dyDescent="0.3">
      <c r="B227" s="7"/>
    </row>
    <row r="228" spans="2:2" x14ac:dyDescent="0.3">
      <c r="B228" s="7"/>
    </row>
    <row r="229" spans="2:2" x14ac:dyDescent="0.3">
      <c r="B229" s="7"/>
    </row>
    <row r="230" spans="2:2" x14ac:dyDescent="0.3">
      <c r="B230" s="7"/>
    </row>
    <row r="231" spans="2:2" x14ac:dyDescent="0.3">
      <c r="B231" s="7"/>
    </row>
    <row r="232" spans="2:2" x14ac:dyDescent="0.3">
      <c r="B232" s="7"/>
    </row>
    <row r="233" spans="2:2" x14ac:dyDescent="0.3">
      <c r="B233" s="7"/>
    </row>
    <row r="234" spans="2:2" x14ac:dyDescent="0.3">
      <c r="B234" s="7"/>
    </row>
    <row r="235" spans="2:2" x14ac:dyDescent="0.3">
      <c r="B235" s="7"/>
    </row>
    <row r="236" spans="2:2" x14ac:dyDescent="0.3">
      <c r="B236" s="7"/>
    </row>
    <row r="237" spans="2:2" x14ac:dyDescent="0.3">
      <c r="B237" s="7"/>
    </row>
    <row r="238" spans="2:2" x14ac:dyDescent="0.3">
      <c r="B238" s="7"/>
    </row>
    <row r="239" spans="2:2" x14ac:dyDescent="0.3">
      <c r="B239" s="7"/>
    </row>
    <row r="240" spans="2:2" x14ac:dyDescent="0.3">
      <c r="B240" s="7"/>
    </row>
    <row r="241" spans="2:2" x14ac:dyDescent="0.3">
      <c r="B241" s="7"/>
    </row>
    <row r="242" spans="2:2" x14ac:dyDescent="0.3">
      <c r="B242" s="7"/>
    </row>
    <row r="243" spans="2:2" x14ac:dyDescent="0.3">
      <c r="B243" s="7"/>
    </row>
    <row r="244" spans="2:2" x14ac:dyDescent="0.3">
      <c r="B244" s="7"/>
    </row>
    <row r="245" spans="2:2" x14ac:dyDescent="0.3">
      <c r="B245" s="7"/>
    </row>
    <row r="246" spans="2:2" x14ac:dyDescent="0.3">
      <c r="B246" s="7"/>
    </row>
    <row r="247" spans="2:2" x14ac:dyDescent="0.3">
      <c r="B247" s="7"/>
    </row>
    <row r="248" spans="2:2" x14ac:dyDescent="0.3">
      <c r="B248" s="7"/>
    </row>
    <row r="249" spans="2:2" x14ac:dyDescent="0.3">
      <c r="B249" s="7"/>
    </row>
    <row r="250" spans="2:2" x14ac:dyDescent="0.3">
      <c r="B250" s="7"/>
    </row>
    <row r="251" spans="2:2" x14ac:dyDescent="0.3">
      <c r="B251" s="7"/>
    </row>
    <row r="252" spans="2:2" x14ac:dyDescent="0.3">
      <c r="B252" s="7"/>
    </row>
    <row r="253" spans="2:2" x14ac:dyDescent="0.3">
      <c r="B253" s="7"/>
    </row>
    <row r="254" spans="2:2" x14ac:dyDescent="0.3">
      <c r="B254" s="7"/>
    </row>
    <row r="255" spans="2:2" x14ac:dyDescent="0.3">
      <c r="B255" s="7"/>
    </row>
    <row r="256" spans="2:2" x14ac:dyDescent="0.3">
      <c r="B256" s="7"/>
    </row>
    <row r="257" spans="2:2" x14ac:dyDescent="0.3">
      <c r="B257" s="7"/>
    </row>
    <row r="258" spans="2:2" x14ac:dyDescent="0.3">
      <c r="B258" s="7"/>
    </row>
    <row r="259" spans="2:2" x14ac:dyDescent="0.3">
      <c r="B259" s="7"/>
    </row>
    <row r="260" spans="2:2" x14ac:dyDescent="0.3">
      <c r="B260" s="7"/>
    </row>
    <row r="261" spans="2:2" x14ac:dyDescent="0.3">
      <c r="B261" s="7"/>
    </row>
    <row r="262" spans="2:2" x14ac:dyDescent="0.3">
      <c r="B262" s="7"/>
    </row>
    <row r="263" spans="2:2" x14ac:dyDescent="0.3">
      <c r="B263" s="7"/>
    </row>
    <row r="264" spans="2:2" x14ac:dyDescent="0.3">
      <c r="B264" s="7"/>
    </row>
    <row r="265" spans="2:2" x14ac:dyDescent="0.3">
      <c r="B265" s="7"/>
    </row>
    <row r="266" spans="2:2" x14ac:dyDescent="0.3">
      <c r="B266" s="7"/>
    </row>
    <row r="267" spans="2:2" x14ac:dyDescent="0.3">
      <c r="B267" s="7"/>
    </row>
    <row r="268" spans="2:2" x14ac:dyDescent="0.3">
      <c r="B268" s="7"/>
    </row>
    <row r="269" spans="2:2" x14ac:dyDescent="0.3">
      <c r="B269" s="7"/>
    </row>
    <row r="270" spans="2:2" x14ac:dyDescent="0.3">
      <c r="B270" s="7"/>
    </row>
    <row r="271" spans="2:2" x14ac:dyDescent="0.3">
      <c r="B271" s="7"/>
    </row>
    <row r="272" spans="2:2" x14ac:dyDescent="0.3">
      <c r="B272" s="7"/>
    </row>
    <row r="273" spans="2:2" x14ac:dyDescent="0.3">
      <c r="B273" s="7"/>
    </row>
    <row r="274" spans="2:2" x14ac:dyDescent="0.3">
      <c r="B274" s="7"/>
    </row>
    <row r="275" spans="2:2" x14ac:dyDescent="0.3">
      <c r="B275" s="7"/>
    </row>
    <row r="276" spans="2:2" x14ac:dyDescent="0.3">
      <c r="B276" s="7"/>
    </row>
    <row r="277" spans="2:2" x14ac:dyDescent="0.3">
      <c r="B277" s="7"/>
    </row>
    <row r="278" spans="2:2" x14ac:dyDescent="0.3">
      <c r="B278" s="7"/>
    </row>
    <row r="279" spans="2:2" x14ac:dyDescent="0.3">
      <c r="B279" s="7"/>
    </row>
    <row r="280" spans="2:2" x14ac:dyDescent="0.3">
      <c r="B280" s="7"/>
    </row>
    <row r="281" spans="2:2" x14ac:dyDescent="0.3">
      <c r="B281" s="7"/>
    </row>
    <row r="282" spans="2:2" x14ac:dyDescent="0.3">
      <c r="B282" s="7"/>
    </row>
    <row r="283" spans="2:2" x14ac:dyDescent="0.3">
      <c r="B283" s="7"/>
    </row>
    <row r="284" spans="2:2" x14ac:dyDescent="0.3">
      <c r="B284" s="7"/>
    </row>
    <row r="285" spans="2:2" x14ac:dyDescent="0.3">
      <c r="B285" s="7"/>
    </row>
    <row r="286" spans="2:2" x14ac:dyDescent="0.3">
      <c r="B286" s="7"/>
    </row>
    <row r="287" spans="2:2" x14ac:dyDescent="0.3">
      <c r="B287" s="7"/>
    </row>
    <row r="288" spans="2:2" x14ac:dyDescent="0.3">
      <c r="B288" s="7"/>
    </row>
    <row r="289" spans="2:2" x14ac:dyDescent="0.3">
      <c r="B289" s="7"/>
    </row>
    <row r="290" spans="2:2" x14ac:dyDescent="0.3">
      <c r="B290" s="7"/>
    </row>
    <row r="291" spans="2:2" x14ac:dyDescent="0.3">
      <c r="B291" s="7"/>
    </row>
    <row r="292" spans="2:2" x14ac:dyDescent="0.3">
      <c r="B292" s="7"/>
    </row>
    <row r="293" spans="2:2" x14ac:dyDescent="0.3">
      <c r="B293" s="7"/>
    </row>
    <row r="294" spans="2:2" x14ac:dyDescent="0.3">
      <c r="B294" s="7"/>
    </row>
    <row r="295" spans="2:2" x14ac:dyDescent="0.3">
      <c r="B295" s="7"/>
    </row>
    <row r="296" spans="2:2" x14ac:dyDescent="0.3">
      <c r="B296" s="7"/>
    </row>
    <row r="297" spans="2:2" x14ac:dyDescent="0.3">
      <c r="B297" s="7"/>
    </row>
    <row r="298" spans="2:2" x14ac:dyDescent="0.3">
      <c r="B298" s="7"/>
    </row>
    <row r="299" spans="2:2" x14ac:dyDescent="0.3">
      <c r="B299" s="7"/>
    </row>
    <row r="300" spans="2:2" x14ac:dyDescent="0.3">
      <c r="B300" s="7"/>
    </row>
    <row r="301" spans="2:2" x14ac:dyDescent="0.3">
      <c r="B301" s="7"/>
    </row>
    <row r="302" spans="2:2" x14ac:dyDescent="0.3">
      <c r="B302" s="7"/>
    </row>
    <row r="303" spans="2:2" x14ac:dyDescent="0.3">
      <c r="B303" s="7"/>
    </row>
    <row r="304" spans="2:2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  <row r="332" spans="2:2" x14ac:dyDescent="0.3">
      <c r="B332" s="7"/>
    </row>
    <row r="333" spans="2:2" x14ac:dyDescent="0.3">
      <c r="B333" s="7"/>
    </row>
    <row r="334" spans="2:2" x14ac:dyDescent="0.3">
      <c r="B334" s="7"/>
    </row>
    <row r="335" spans="2:2" x14ac:dyDescent="0.3">
      <c r="B335" s="7"/>
    </row>
    <row r="336" spans="2:2" x14ac:dyDescent="0.3">
      <c r="B336" s="7"/>
    </row>
    <row r="337" spans="2:2" x14ac:dyDescent="0.3">
      <c r="B337" s="7"/>
    </row>
    <row r="338" spans="2:2" x14ac:dyDescent="0.3">
      <c r="B338" s="7"/>
    </row>
    <row r="339" spans="2:2" x14ac:dyDescent="0.3">
      <c r="B339" s="7"/>
    </row>
    <row r="340" spans="2:2" x14ac:dyDescent="0.3">
      <c r="B340" s="7"/>
    </row>
    <row r="341" spans="2:2" x14ac:dyDescent="0.3">
      <c r="B341" s="7"/>
    </row>
    <row r="342" spans="2:2" x14ac:dyDescent="0.3">
      <c r="B342" s="7"/>
    </row>
    <row r="343" spans="2:2" x14ac:dyDescent="0.3">
      <c r="B343" s="7"/>
    </row>
    <row r="344" spans="2:2" x14ac:dyDescent="0.3">
      <c r="B344" s="7"/>
    </row>
    <row r="345" spans="2:2" x14ac:dyDescent="0.3">
      <c r="B345" s="7"/>
    </row>
    <row r="346" spans="2:2" x14ac:dyDescent="0.3">
      <c r="B346" s="7"/>
    </row>
    <row r="347" spans="2:2" x14ac:dyDescent="0.3">
      <c r="B347" s="7"/>
    </row>
    <row r="348" spans="2:2" x14ac:dyDescent="0.3">
      <c r="B348" s="7"/>
    </row>
    <row r="349" spans="2:2" x14ac:dyDescent="0.3">
      <c r="B349" s="7"/>
    </row>
    <row r="350" spans="2:2" x14ac:dyDescent="0.3">
      <c r="B350" s="7"/>
    </row>
    <row r="351" spans="2:2" x14ac:dyDescent="0.3">
      <c r="B351" s="7"/>
    </row>
    <row r="352" spans="2:2" x14ac:dyDescent="0.3">
      <c r="B352" s="7"/>
    </row>
    <row r="353" spans="2:2" x14ac:dyDescent="0.3">
      <c r="B353" s="7"/>
    </row>
    <row r="354" spans="2:2" x14ac:dyDescent="0.3">
      <c r="B354" s="7"/>
    </row>
    <row r="355" spans="2:2" x14ac:dyDescent="0.3">
      <c r="B355" s="7"/>
    </row>
    <row r="356" spans="2:2" x14ac:dyDescent="0.3">
      <c r="B356" s="7"/>
    </row>
    <row r="357" spans="2:2" x14ac:dyDescent="0.3">
      <c r="B357" s="7"/>
    </row>
    <row r="358" spans="2:2" x14ac:dyDescent="0.3">
      <c r="B358" s="7"/>
    </row>
    <row r="359" spans="2:2" x14ac:dyDescent="0.3">
      <c r="B359" s="7"/>
    </row>
    <row r="360" spans="2:2" x14ac:dyDescent="0.3">
      <c r="B360" s="7"/>
    </row>
    <row r="361" spans="2:2" x14ac:dyDescent="0.3">
      <c r="B361" s="7"/>
    </row>
    <row r="362" spans="2:2" x14ac:dyDescent="0.3">
      <c r="B362" s="7"/>
    </row>
    <row r="363" spans="2:2" x14ac:dyDescent="0.3">
      <c r="B363" s="7"/>
    </row>
    <row r="364" spans="2:2" x14ac:dyDescent="0.3">
      <c r="B364" s="7"/>
    </row>
    <row r="365" spans="2:2" x14ac:dyDescent="0.3">
      <c r="B365" s="7"/>
    </row>
    <row r="366" spans="2:2" x14ac:dyDescent="0.3">
      <c r="B366" s="7"/>
    </row>
    <row r="367" spans="2:2" x14ac:dyDescent="0.3">
      <c r="B367" s="7"/>
    </row>
    <row r="368" spans="2:2" x14ac:dyDescent="0.3">
      <c r="B368" s="7"/>
    </row>
    <row r="369" spans="2:2" x14ac:dyDescent="0.3">
      <c r="B369" s="7"/>
    </row>
    <row r="370" spans="2:2" x14ac:dyDescent="0.3">
      <c r="B370" s="7"/>
    </row>
    <row r="371" spans="2:2" x14ac:dyDescent="0.3">
      <c r="B371" s="7"/>
    </row>
    <row r="372" spans="2:2" x14ac:dyDescent="0.3">
      <c r="B372" s="7"/>
    </row>
    <row r="373" spans="2:2" x14ac:dyDescent="0.3">
      <c r="B373" s="7"/>
    </row>
    <row r="374" spans="2:2" x14ac:dyDescent="0.3">
      <c r="B374" s="7"/>
    </row>
    <row r="375" spans="2:2" x14ac:dyDescent="0.3">
      <c r="B375" s="7"/>
    </row>
    <row r="376" spans="2:2" x14ac:dyDescent="0.3">
      <c r="B376" s="7"/>
    </row>
    <row r="377" spans="2:2" x14ac:dyDescent="0.3">
      <c r="B377" s="7"/>
    </row>
    <row r="378" spans="2:2" x14ac:dyDescent="0.3">
      <c r="B378" s="7"/>
    </row>
    <row r="379" spans="2:2" x14ac:dyDescent="0.3">
      <c r="B379" s="7"/>
    </row>
    <row r="380" spans="2:2" x14ac:dyDescent="0.3">
      <c r="B380" s="7"/>
    </row>
    <row r="381" spans="2:2" x14ac:dyDescent="0.3">
      <c r="B381" s="7"/>
    </row>
    <row r="382" spans="2:2" x14ac:dyDescent="0.3">
      <c r="B382" s="7"/>
    </row>
    <row r="383" spans="2:2" x14ac:dyDescent="0.3">
      <c r="B383" s="7"/>
    </row>
    <row r="384" spans="2:2" x14ac:dyDescent="0.3">
      <c r="B384" s="7"/>
    </row>
    <row r="385" spans="2:2" x14ac:dyDescent="0.3">
      <c r="B385" s="7"/>
    </row>
    <row r="386" spans="2:2" x14ac:dyDescent="0.3">
      <c r="B386" s="7"/>
    </row>
    <row r="387" spans="2:2" x14ac:dyDescent="0.3">
      <c r="B387" s="7"/>
    </row>
    <row r="388" spans="2:2" x14ac:dyDescent="0.3">
      <c r="B388" s="7"/>
    </row>
    <row r="389" spans="2:2" x14ac:dyDescent="0.3">
      <c r="B389" s="7"/>
    </row>
    <row r="390" spans="2:2" x14ac:dyDescent="0.3">
      <c r="B390" s="7"/>
    </row>
    <row r="391" spans="2:2" x14ac:dyDescent="0.3">
      <c r="B391" s="7"/>
    </row>
    <row r="392" spans="2:2" x14ac:dyDescent="0.3">
      <c r="B392" s="7"/>
    </row>
    <row r="393" spans="2:2" x14ac:dyDescent="0.3">
      <c r="B393" s="7"/>
    </row>
    <row r="394" spans="2:2" x14ac:dyDescent="0.3">
      <c r="B394" s="7"/>
    </row>
    <row r="395" spans="2:2" x14ac:dyDescent="0.3">
      <c r="B395" s="7"/>
    </row>
    <row r="396" spans="2:2" x14ac:dyDescent="0.3">
      <c r="B396" s="7"/>
    </row>
    <row r="397" spans="2:2" x14ac:dyDescent="0.3">
      <c r="B397" s="7"/>
    </row>
    <row r="398" spans="2:2" x14ac:dyDescent="0.3">
      <c r="B398" s="7"/>
    </row>
    <row r="399" spans="2:2" x14ac:dyDescent="0.3">
      <c r="B399" s="7"/>
    </row>
    <row r="400" spans="2:2" x14ac:dyDescent="0.3">
      <c r="B400" s="7"/>
    </row>
    <row r="401" spans="2:2" x14ac:dyDescent="0.3">
      <c r="B401" s="7"/>
    </row>
    <row r="402" spans="2:2" x14ac:dyDescent="0.3">
      <c r="B402" s="7"/>
    </row>
    <row r="403" spans="2:2" x14ac:dyDescent="0.3">
      <c r="B403" s="7"/>
    </row>
    <row r="404" spans="2:2" x14ac:dyDescent="0.3">
      <c r="B404" s="7"/>
    </row>
    <row r="405" spans="2:2" x14ac:dyDescent="0.3">
      <c r="B405" s="7"/>
    </row>
    <row r="406" spans="2:2" x14ac:dyDescent="0.3">
      <c r="B406" s="7"/>
    </row>
    <row r="407" spans="2:2" x14ac:dyDescent="0.3">
      <c r="B407" s="7"/>
    </row>
    <row r="408" spans="2:2" x14ac:dyDescent="0.3">
      <c r="B408" s="7"/>
    </row>
    <row r="409" spans="2:2" x14ac:dyDescent="0.3">
      <c r="B409" s="7"/>
    </row>
    <row r="410" spans="2:2" x14ac:dyDescent="0.3">
      <c r="B410" s="7"/>
    </row>
    <row r="411" spans="2:2" x14ac:dyDescent="0.3">
      <c r="B411" s="7"/>
    </row>
    <row r="412" spans="2:2" x14ac:dyDescent="0.3">
      <c r="B412" s="7"/>
    </row>
    <row r="413" spans="2:2" x14ac:dyDescent="0.3">
      <c r="B413" s="7"/>
    </row>
    <row r="414" spans="2:2" x14ac:dyDescent="0.3">
      <c r="B414" s="7"/>
    </row>
    <row r="415" spans="2:2" x14ac:dyDescent="0.3">
      <c r="B415" s="7"/>
    </row>
    <row r="416" spans="2:2" x14ac:dyDescent="0.3">
      <c r="B416" s="7"/>
    </row>
    <row r="417" spans="2:2" x14ac:dyDescent="0.3">
      <c r="B417" s="7"/>
    </row>
    <row r="418" spans="2:2" x14ac:dyDescent="0.3">
      <c r="B418" s="7"/>
    </row>
    <row r="419" spans="2:2" x14ac:dyDescent="0.3">
      <c r="B419" s="7"/>
    </row>
    <row r="420" spans="2:2" x14ac:dyDescent="0.3">
      <c r="B420" s="7"/>
    </row>
    <row r="421" spans="2:2" x14ac:dyDescent="0.3">
      <c r="B421" s="7"/>
    </row>
    <row r="422" spans="2:2" x14ac:dyDescent="0.3">
      <c r="B422" s="7"/>
    </row>
    <row r="423" spans="2:2" x14ac:dyDescent="0.3">
      <c r="B423" s="7"/>
    </row>
    <row r="424" spans="2:2" x14ac:dyDescent="0.3">
      <c r="B424" s="7"/>
    </row>
    <row r="425" spans="2:2" x14ac:dyDescent="0.3">
      <c r="B425" s="7"/>
    </row>
    <row r="426" spans="2:2" x14ac:dyDescent="0.3">
      <c r="B426" s="7"/>
    </row>
    <row r="427" spans="2:2" x14ac:dyDescent="0.3">
      <c r="B427" s="7"/>
    </row>
    <row r="428" spans="2:2" x14ac:dyDescent="0.3">
      <c r="B428" s="7"/>
    </row>
    <row r="429" spans="2:2" x14ac:dyDescent="0.3">
      <c r="B429" s="7"/>
    </row>
    <row r="430" spans="2:2" x14ac:dyDescent="0.3">
      <c r="B430" s="7"/>
    </row>
    <row r="431" spans="2:2" x14ac:dyDescent="0.3">
      <c r="B431" s="7"/>
    </row>
    <row r="432" spans="2:2" x14ac:dyDescent="0.3">
      <c r="B432" s="7"/>
    </row>
    <row r="433" spans="2:2" x14ac:dyDescent="0.3">
      <c r="B433" s="7"/>
    </row>
    <row r="434" spans="2:2" x14ac:dyDescent="0.3">
      <c r="B434" s="7"/>
    </row>
    <row r="435" spans="2:2" x14ac:dyDescent="0.3">
      <c r="B435" s="7"/>
    </row>
    <row r="436" spans="2:2" x14ac:dyDescent="0.3">
      <c r="B436" s="7"/>
    </row>
    <row r="437" spans="2:2" x14ac:dyDescent="0.3">
      <c r="B437" s="7"/>
    </row>
    <row r="438" spans="2:2" x14ac:dyDescent="0.3">
      <c r="B438" s="7"/>
    </row>
    <row r="439" spans="2:2" x14ac:dyDescent="0.3">
      <c r="B439" s="7"/>
    </row>
    <row r="440" spans="2:2" x14ac:dyDescent="0.3">
      <c r="B440" s="7"/>
    </row>
    <row r="441" spans="2:2" x14ac:dyDescent="0.3">
      <c r="B441" s="7"/>
    </row>
    <row r="442" spans="2:2" x14ac:dyDescent="0.3">
      <c r="B442" s="7"/>
    </row>
    <row r="443" spans="2:2" x14ac:dyDescent="0.3">
      <c r="B443" s="7"/>
    </row>
    <row r="444" spans="2:2" x14ac:dyDescent="0.3">
      <c r="B444" s="7"/>
    </row>
    <row r="445" spans="2:2" x14ac:dyDescent="0.3">
      <c r="B445" s="7"/>
    </row>
    <row r="446" spans="2:2" x14ac:dyDescent="0.3">
      <c r="B446" s="7"/>
    </row>
    <row r="447" spans="2:2" x14ac:dyDescent="0.3">
      <c r="B447" s="7"/>
    </row>
    <row r="448" spans="2:2" x14ac:dyDescent="0.3">
      <c r="B448" s="7"/>
    </row>
    <row r="449" spans="2:2" x14ac:dyDescent="0.3">
      <c r="B449" s="7"/>
    </row>
    <row r="450" spans="2:2" x14ac:dyDescent="0.3">
      <c r="B450" s="7"/>
    </row>
    <row r="451" spans="2:2" x14ac:dyDescent="0.3">
      <c r="B451" s="7"/>
    </row>
    <row r="452" spans="2:2" x14ac:dyDescent="0.3">
      <c r="B452" s="7"/>
    </row>
    <row r="453" spans="2:2" x14ac:dyDescent="0.3">
      <c r="B453" s="7"/>
    </row>
    <row r="454" spans="2:2" x14ac:dyDescent="0.3">
      <c r="B454" s="7"/>
    </row>
    <row r="455" spans="2:2" x14ac:dyDescent="0.3">
      <c r="B455" s="7"/>
    </row>
    <row r="456" spans="2:2" x14ac:dyDescent="0.3">
      <c r="B456" s="7"/>
    </row>
    <row r="457" spans="2:2" x14ac:dyDescent="0.3">
      <c r="B457" s="7"/>
    </row>
    <row r="458" spans="2:2" x14ac:dyDescent="0.3">
      <c r="B458" s="7"/>
    </row>
    <row r="459" spans="2:2" x14ac:dyDescent="0.3">
      <c r="B459" s="7"/>
    </row>
    <row r="460" spans="2:2" x14ac:dyDescent="0.3">
      <c r="B460" s="7"/>
    </row>
    <row r="461" spans="2:2" x14ac:dyDescent="0.3">
      <c r="B461" s="7"/>
    </row>
    <row r="462" spans="2:2" x14ac:dyDescent="0.3">
      <c r="B462" s="7"/>
    </row>
    <row r="463" spans="2:2" x14ac:dyDescent="0.3">
      <c r="B463" s="7"/>
    </row>
    <row r="464" spans="2:2" x14ac:dyDescent="0.3">
      <c r="B464" s="7"/>
    </row>
    <row r="465" spans="2:2" x14ac:dyDescent="0.3">
      <c r="B465" s="7"/>
    </row>
    <row r="466" spans="2:2" x14ac:dyDescent="0.3">
      <c r="B466" s="7"/>
    </row>
    <row r="467" spans="2:2" x14ac:dyDescent="0.3">
      <c r="B467" s="7"/>
    </row>
    <row r="468" spans="2:2" x14ac:dyDescent="0.3">
      <c r="B468" s="7"/>
    </row>
    <row r="469" spans="2:2" x14ac:dyDescent="0.3">
      <c r="B469" s="7"/>
    </row>
    <row r="470" spans="2:2" x14ac:dyDescent="0.3">
      <c r="B470" s="7"/>
    </row>
    <row r="471" spans="2:2" x14ac:dyDescent="0.3">
      <c r="B471" s="7"/>
    </row>
    <row r="472" spans="2:2" x14ac:dyDescent="0.3">
      <c r="B472" s="7"/>
    </row>
    <row r="473" spans="2:2" x14ac:dyDescent="0.3">
      <c r="B473" s="7"/>
    </row>
    <row r="474" spans="2:2" x14ac:dyDescent="0.3">
      <c r="B474" s="7"/>
    </row>
    <row r="475" spans="2:2" x14ac:dyDescent="0.3">
      <c r="B475" s="7"/>
    </row>
    <row r="476" spans="2:2" x14ac:dyDescent="0.3">
      <c r="B476" s="7"/>
    </row>
    <row r="477" spans="2:2" x14ac:dyDescent="0.3">
      <c r="B477" s="7"/>
    </row>
    <row r="478" spans="2:2" x14ac:dyDescent="0.3">
      <c r="B478" s="7"/>
    </row>
    <row r="479" spans="2:2" x14ac:dyDescent="0.3">
      <c r="B479" s="7"/>
    </row>
    <row r="480" spans="2:2" x14ac:dyDescent="0.3">
      <c r="B480" s="7"/>
    </row>
    <row r="481" spans="2:2" x14ac:dyDescent="0.3">
      <c r="B481" s="7"/>
    </row>
    <row r="482" spans="2:2" x14ac:dyDescent="0.3">
      <c r="B482" s="7"/>
    </row>
    <row r="483" spans="2:2" x14ac:dyDescent="0.3">
      <c r="B483" s="7"/>
    </row>
    <row r="484" spans="2:2" x14ac:dyDescent="0.3">
      <c r="B484" s="7"/>
    </row>
    <row r="485" spans="2:2" x14ac:dyDescent="0.3">
      <c r="B485" s="7"/>
    </row>
    <row r="486" spans="2:2" x14ac:dyDescent="0.3">
      <c r="B486" s="7"/>
    </row>
    <row r="487" spans="2:2" x14ac:dyDescent="0.3">
      <c r="B487" s="7"/>
    </row>
    <row r="488" spans="2:2" x14ac:dyDescent="0.3">
      <c r="B488" s="7"/>
    </row>
    <row r="489" spans="2:2" x14ac:dyDescent="0.3">
      <c r="B489" s="7"/>
    </row>
    <row r="490" spans="2:2" x14ac:dyDescent="0.3">
      <c r="B490" s="7"/>
    </row>
    <row r="491" spans="2:2" x14ac:dyDescent="0.3">
      <c r="B491" s="7"/>
    </row>
    <row r="492" spans="2:2" x14ac:dyDescent="0.3">
      <c r="B492" s="7"/>
    </row>
    <row r="493" spans="2:2" x14ac:dyDescent="0.3">
      <c r="B493" s="7"/>
    </row>
    <row r="494" spans="2:2" x14ac:dyDescent="0.3">
      <c r="B494" s="7"/>
    </row>
    <row r="495" spans="2:2" x14ac:dyDescent="0.3">
      <c r="B495" s="7"/>
    </row>
    <row r="496" spans="2:2" x14ac:dyDescent="0.3">
      <c r="B496" s="7"/>
    </row>
    <row r="497" spans="2:2" x14ac:dyDescent="0.3">
      <c r="B497" s="7"/>
    </row>
    <row r="498" spans="2:2" x14ac:dyDescent="0.3">
      <c r="B498" s="7"/>
    </row>
    <row r="499" spans="2:2" x14ac:dyDescent="0.3">
      <c r="B499" s="7"/>
    </row>
    <row r="500" spans="2:2" x14ac:dyDescent="0.3">
      <c r="B500" s="7"/>
    </row>
    <row r="501" spans="2:2" x14ac:dyDescent="0.3">
      <c r="B501" s="7"/>
    </row>
    <row r="502" spans="2:2" x14ac:dyDescent="0.3">
      <c r="B502" s="7"/>
    </row>
    <row r="503" spans="2:2" x14ac:dyDescent="0.3">
      <c r="B503" s="7"/>
    </row>
    <row r="504" spans="2:2" x14ac:dyDescent="0.3">
      <c r="B504" s="7"/>
    </row>
    <row r="505" spans="2:2" x14ac:dyDescent="0.3">
      <c r="B505" s="7"/>
    </row>
    <row r="506" spans="2:2" x14ac:dyDescent="0.3">
      <c r="B506" s="7"/>
    </row>
    <row r="507" spans="2:2" x14ac:dyDescent="0.3">
      <c r="B507" s="7"/>
    </row>
    <row r="508" spans="2:2" x14ac:dyDescent="0.3">
      <c r="B508" s="7"/>
    </row>
    <row r="509" spans="2:2" x14ac:dyDescent="0.3">
      <c r="B509" s="7"/>
    </row>
    <row r="510" spans="2:2" x14ac:dyDescent="0.3">
      <c r="B510" s="7"/>
    </row>
    <row r="511" spans="2:2" x14ac:dyDescent="0.3">
      <c r="B511" s="7"/>
    </row>
    <row r="512" spans="2:2" x14ac:dyDescent="0.3">
      <c r="B512" s="7"/>
    </row>
    <row r="513" spans="2:2" x14ac:dyDescent="0.3">
      <c r="B513" s="7"/>
    </row>
    <row r="514" spans="2:2" x14ac:dyDescent="0.3">
      <c r="B514" s="7"/>
    </row>
    <row r="515" spans="2:2" x14ac:dyDescent="0.3">
      <c r="B515" s="7"/>
    </row>
    <row r="516" spans="2:2" x14ac:dyDescent="0.3">
      <c r="B516" s="7"/>
    </row>
    <row r="517" spans="2:2" x14ac:dyDescent="0.3">
      <c r="B517" s="7"/>
    </row>
    <row r="518" spans="2:2" x14ac:dyDescent="0.3">
      <c r="B518" s="7"/>
    </row>
    <row r="519" spans="2:2" x14ac:dyDescent="0.3">
      <c r="B519" s="7"/>
    </row>
    <row r="520" spans="2:2" x14ac:dyDescent="0.3">
      <c r="B520" s="7"/>
    </row>
    <row r="521" spans="2:2" x14ac:dyDescent="0.3">
      <c r="B521" s="7"/>
    </row>
    <row r="522" spans="2:2" x14ac:dyDescent="0.3">
      <c r="B522" s="7"/>
    </row>
    <row r="523" spans="2:2" x14ac:dyDescent="0.3">
      <c r="B523" s="7"/>
    </row>
    <row r="524" spans="2:2" x14ac:dyDescent="0.3">
      <c r="B524" s="7"/>
    </row>
    <row r="525" spans="2:2" x14ac:dyDescent="0.3">
      <c r="B525" s="7"/>
    </row>
    <row r="526" spans="2:2" x14ac:dyDescent="0.3">
      <c r="B526" s="7"/>
    </row>
    <row r="527" spans="2:2" x14ac:dyDescent="0.3">
      <c r="B527" s="7"/>
    </row>
    <row r="528" spans="2:2" x14ac:dyDescent="0.3">
      <c r="B528" s="7"/>
    </row>
    <row r="529" spans="2:2" x14ac:dyDescent="0.3">
      <c r="B529" s="7"/>
    </row>
    <row r="530" spans="2:2" x14ac:dyDescent="0.3">
      <c r="B530" s="7"/>
    </row>
    <row r="531" spans="2:2" x14ac:dyDescent="0.3">
      <c r="B531" s="7"/>
    </row>
    <row r="532" spans="2:2" x14ac:dyDescent="0.3">
      <c r="B532" s="7"/>
    </row>
    <row r="533" spans="2:2" x14ac:dyDescent="0.3">
      <c r="B533" s="7"/>
    </row>
    <row r="534" spans="2:2" x14ac:dyDescent="0.3">
      <c r="B534" s="7"/>
    </row>
    <row r="535" spans="2:2" x14ac:dyDescent="0.3">
      <c r="B535" s="7"/>
    </row>
    <row r="536" spans="2:2" x14ac:dyDescent="0.3">
      <c r="B536" s="7"/>
    </row>
    <row r="537" spans="2:2" x14ac:dyDescent="0.3">
      <c r="B537" s="7"/>
    </row>
    <row r="538" spans="2:2" x14ac:dyDescent="0.3">
      <c r="B538" s="7"/>
    </row>
    <row r="539" spans="2:2" x14ac:dyDescent="0.3">
      <c r="B539" s="7"/>
    </row>
    <row r="540" spans="2:2" x14ac:dyDescent="0.3">
      <c r="B540" s="7"/>
    </row>
    <row r="541" spans="2:2" x14ac:dyDescent="0.3">
      <c r="B541" s="7"/>
    </row>
    <row r="542" spans="2:2" x14ac:dyDescent="0.3">
      <c r="B542" s="7"/>
    </row>
    <row r="543" spans="2:2" x14ac:dyDescent="0.3">
      <c r="B543" s="7"/>
    </row>
    <row r="544" spans="2:2" x14ac:dyDescent="0.3">
      <c r="B544" s="7"/>
    </row>
    <row r="545" spans="2:2" x14ac:dyDescent="0.3">
      <c r="B545" s="7"/>
    </row>
    <row r="546" spans="2:2" x14ac:dyDescent="0.3">
      <c r="B546" s="7"/>
    </row>
    <row r="547" spans="2:2" x14ac:dyDescent="0.3">
      <c r="B547" s="7"/>
    </row>
    <row r="548" spans="2:2" x14ac:dyDescent="0.3">
      <c r="B548" s="7"/>
    </row>
    <row r="549" spans="2:2" x14ac:dyDescent="0.3">
      <c r="B549" s="7"/>
    </row>
    <row r="550" spans="2:2" x14ac:dyDescent="0.3">
      <c r="B550" s="7"/>
    </row>
  </sheetData>
  <conditionalFormatting sqref="B2:B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5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N5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 Sheet</vt:lpstr>
      <vt:lpstr>Christmas Factor Calc</vt:lpstr>
      <vt:lpstr>Score Factor Calc</vt:lpstr>
      <vt:lpstr>FloorWeight</vt:lpstr>
      <vt:lpstr>PropWeight</vt:lpstr>
      <vt:lpstr>ShopItemWeight</vt:lpstr>
      <vt:lpstr>ShopWeight</vt:lpstr>
      <vt:lpstr>SpecialWeight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L</dc:creator>
  <cp:lastModifiedBy>Guy L</cp:lastModifiedBy>
  <dcterms:created xsi:type="dcterms:W3CDTF">2025-12-16T04:28:16Z</dcterms:created>
  <dcterms:modified xsi:type="dcterms:W3CDTF">2025-12-21T14:48:35Z</dcterms:modified>
</cp:coreProperties>
</file>